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ampaign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Executive Dashboard" sheetId="3" state="visible" r:id="rId3"/>
  </sheets>
  <definedNames>
    <definedName name="_xlnm.Print_Titles" localSheetId="0">'Campaign Data'!$4:$4</definedName>
    <definedName name="_xlnm.Print_Area" localSheetId="1">'Analysis'!$A$1:$N$46</definedName>
    <definedName name="_xlnm.Print_Area" localSheetId="2">'Executive Dashboard'!$A$1:$Q$37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&quot;₹&quot;#,##0"/>
    <numFmt numFmtId="167" formatCode="0.00&quot;x&quot;"/>
  </numFmts>
  <fonts count="21">
    <font>
      <name val="Calibri"/>
      <family val="2"/>
      <color theme="1"/>
      <sz val="11"/>
      <scheme val="minor"/>
    </font>
    <font>
      <name val="Arial"/>
      <b val="1"/>
      <color rgb="001B2B48"/>
      <sz val="16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B2B48"/>
      <sz val="9"/>
    </font>
    <font>
      <name val="Arial"/>
      <b val="1"/>
      <color rgb="001F2937"/>
      <sz val="10"/>
    </font>
    <font>
      <name val="Arial"/>
      <color rgb="00007A33"/>
      <sz val="10"/>
    </font>
    <font>
      <name val="Arial"/>
      <b val="1"/>
      <color rgb="001B2B48"/>
      <sz val="10"/>
    </font>
    <font>
      <name val="Arial"/>
      <color rgb="001F2937"/>
      <sz val="9"/>
    </font>
    <font>
      <name val="Arial"/>
      <b val="1"/>
      <color rgb="001F2937"/>
      <sz val="9"/>
    </font>
    <font>
      <name val="Arial"/>
      <b val="1"/>
      <color rgb="00007A33"/>
      <sz val="10"/>
    </font>
    <font>
      <name val="Arial"/>
      <b val="1"/>
      <color rgb="00FFFFFF"/>
      <sz val="20"/>
    </font>
    <font>
      <name val="Arial"/>
      <color rgb="00BFDBE0"/>
      <sz val="10"/>
    </font>
    <font>
      <name val="Arial"/>
      <b val="1"/>
      <color rgb="0064748B"/>
      <sz val="9"/>
    </font>
    <font>
      <name val="Arial"/>
      <b val="1"/>
      <color rgb="001B2B48"/>
      <sz val="11"/>
    </font>
    <font>
      <name val="Arial"/>
      <i val="1"/>
      <color rgb="0064748B"/>
      <sz val="8"/>
    </font>
    <font>
      <name val="Arial"/>
      <b val="1"/>
      <color rgb="0064748B"/>
      <sz val="8"/>
    </font>
    <font>
      <name val="Arial"/>
      <b val="1"/>
      <color rgb="001B2B48"/>
      <sz val="20"/>
    </font>
    <font>
      <name val="Arial"/>
      <color rgb="0064748B"/>
      <sz val="8"/>
    </font>
    <font>
      <name val="Arial"/>
      <b val="1"/>
      <color rgb="001F7A8C"/>
      <sz val="10"/>
    </font>
  </fonts>
  <fills count="7">
    <fill>
      <patternFill/>
    </fill>
    <fill>
      <patternFill patternType="gray125"/>
    </fill>
    <fill>
      <patternFill patternType="solid">
        <fgColor rgb="001B2B48"/>
      </patternFill>
    </fill>
    <fill>
      <patternFill patternType="solid">
        <fgColor rgb="00E4ECF2"/>
      </patternFill>
    </fill>
    <fill>
      <patternFill patternType="solid">
        <fgColor rgb="00EAF4F6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bottom style="thin">
        <color rgb="001F7A8C"/>
      </bottom>
    </border>
    <border>
      <left/>
      <right/>
      <top/>
      <bottom style="thin">
        <color rgb="001F7A8C"/>
      </bottom>
      <diagonal/>
    </border>
    <border>
      <bottom style="thin">
        <color rgb="00D5DCE4"/>
      </bottom>
    </border>
    <border>
      <left style="medium">
        <color rgb="001F7A8C"/>
      </left>
      <right style="medium">
        <color rgb="001F7A8C"/>
      </right>
      <top style="medium">
        <color rgb="001F7A8C"/>
      </top>
      <bottom style="medium">
        <color rgb="001F7A8C"/>
      </bottom>
    </border>
    <border>
      <top style="thick">
        <color rgb="001F7A8C"/>
      </top>
    </border>
    <border>
      <right style="thick">
        <color rgb="00FFFFFF"/>
      </right>
      <top style="thick">
        <color rgb="001F7A8C"/>
      </top>
    </border>
    <border/>
    <border>
      <right style="thick">
        <color rgb="00FFFFFF"/>
      </right>
    </border>
    <border>
      <left style="thick">
        <color rgb="00FFFFFF"/>
      </left>
      <top style="thick">
        <color rgb="001F7A8C"/>
      </top>
    </border>
    <border>
      <left style="thick">
        <color rgb="00FFFFFF"/>
      </left>
    </border>
    <border>
      <bottom style="medium">
        <color rgb="001F7A8C"/>
      </bottom>
    </border>
    <border>
      <left style="thick">
        <color rgb="001F7A8C"/>
      </left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  <xf numFmtId="0" fontId="4" fillId="0" borderId="3" pivotButton="0" quotePrefix="0" xfId="0"/>
    <xf numFmtId="3" fontId="4" fillId="0" borderId="3" applyAlignment="1" pivotButton="0" quotePrefix="0" xfId="0">
      <alignment horizontal="right"/>
    </xf>
    <xf numFmtId="166" fontId="4" fillId="0" borderId="3" applyAlignment="1" pivotButton="0" quotePrefix="0" xfId="0">
      <alignment horizontal="right"/>
    </xf>
    <xf numFmtId="10" fontId="4" fillId="0" borderId="3" applyAlignment="1" pivotButton="0" quotePrefix="0" xfId="0">
      <alignment horizontal="right"/>
    </xf>
    <xf numFmtId="167" fontId="4" fillId="0" borderId="3" applyAlignment="1" pivotButton="0" quotePrefix="0" xfId="0">
      <alignment horizontal="right"/>
    </xf>
    <xf numFmtId="0" fontId="6" fillId="4" borderId="3" pivotButton="0" quotePrefix="0" xfId="0"/>
    <xf numFmtId="3" fontId="6" fillId="4" borderId="3" applyAlignment="1" pivotButton="0" quotePrefix="0" xfId="0">
      <alignment horizontal="right"/>
    </xf>
    <xf numFmtId="166" fontId="6" fillId="4" borderId="3" applyAlignment="1" pivotButton="0" quotePrefix="0" xfId="0">
      <alignment horizontal="right"/>
    </xf>
    <xf numFmtId="10" fontId="6" fillId="4" borderId="3" applyAlignment="1" pivotButton="0" quotePrefix="0" xfId="0">
      <alignment horizontal="right"/>
    </xf>
    <xf numFmtId="167" fontId="6" fillId="4" borderId="3" applyAlignment="1" pivotButton="0" quotePrefix="0" xfId="0">
      <alignment horizontal="right"/>
    </xf>
    <xf numFmtId="0" fontId="0" fillId="4" borderId="0" pivotButton="0" quotePrefix="0" xfId="0"/>
    <xf numFmtId="0" fontId="4" fillId="0" borderId="3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8" fillId="0" borderId="0" pivotButton="0" quotePrefix="0" xfId="0"/>
    <xf numFmtId="167" fontId="4" fillId="0" borderId="3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right" vertical="center" indent="1"/>
    </xf>
    <xf numFmtId="0" fontId="15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0" fillId="5" borderId="0" pivotButton="0" quotePrefix="0" xfId="0"/>
    <xf numFmtId="0" fontId="16" fillId="5" borderId="0" applyAlignment="1" pivotButton="0" quotePrefix="0" xfId="0">
      <alignment horizontal="left" vertical="center" wrapText="1" indent="1"/>
    </xf>
    <xf numFmtId="0" fontId="17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0" fillId="5" borderId="6" pivotButton="0" quotePrefix="0" xfId="0"/>
    <xf numFmtId="0" fontId="17" fillId="5" borderId="9" applyAlignment="1" pivotButton="0" quotePrefix="0" xfId="0">
      <alignment horizontal="center" vertical="center"/>
    </xf>
    <xf numFmtId="166" fontId="18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0" fillId="5" borderId="8" pivotButton="0" quotePrefix="0" xfId="0"/>
    <xf numFmtId="166" fontId="18" fillId="5" borderId="10" applyAlignment="1" pivotButton="0" quotePrefix="0" xfId="0">
      <alignment horizontal="center" vertical="center"/>
    </xf>
    <xf numFmtId="167" fontId="18" fillId="5" borderId="10" applyAlignment="1" pivotButton="0" quotePrefix="0" xfId="0">
      <alignment horizontal="center" vertical="center"/>
    </xf>
    <xf numFmtId="3" fontId="18" fillId="5" borderId="10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19" fillId="5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left" vertical="center"/>
    </xf>
    <xf numFmtId="0" fontId="0" fillId="0" borderId="11" pivotButton="0" quotePrefix="0" xfId="0"/>
    <xf numFmtId="0" fontId="20" fillId="5" borderId="12" applyAlignment="1" pivotButton="0" quotePrefix="0" xfId="0">
      <alignment horizontal="left" vertical="center" indent="1"/>
    </xf>
    <xf numFmtId="0" fontId="9" fillId="5" borderId="12" applyAlignment="1" pivotButton="0" quotePrefix="0" xfId="0">
      <alignment horizontal="left" vertical="top" wrapText="1" indent="1"/>
    </xf>
    <xf numFmtId="0" fontId="0" fillId="5" borderId="12" pivotButton="0" quotePrefix="0" xfId="0"/>
    <xf numFmtId="0" fontId="16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C00000"/>
        <sz val="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chart>
    <autoTitleDeleted val="1"/>
    <plotArea>
      <barChart>
        <barDir val="col"/>
        <grouping val="clustered"/>
        <ser>
          <idx val="0"/>
          <order val="0"/>
          <tx>
            <strRef>
              <f>'Analysis'!$F$15</f>
            </strRef>
          </tx>
          <spPr>
            <a:solidFill xmlns:a="http://schemas.openxmlformats.org/drawingml/2006/main">
              <a:srgbClr val="1B2B48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₹&quot;0.0,,&quot;M&quot;;-&quot;₹&quot;0.0,,&quot;M&quot;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7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937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'Analysis'!$B$17:$B$20</f>
            </numRef>
          </cat>
          <val>
            <numRef>
              <f>'Analysis'!$F$17:$F$20</f>
            </numRef>
          </val>
        </ser>
        <ser>
          <idx val="1"/>
          <order val="1"/>
          <tx>
            <strRef>
              <f>'Analysis'!$I$15</f>
            </strRef>
          </tx>
          <spPr>
            <a:solidFill xmlns:a="http://schemas.openxmlformats.org/drawingml/2006/main">
              <a:srgbClr val="1F7A8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₹&quot;0.0,,&quot;M&quot;;-&quot;₹&quot;0.0,,&quot;M&quot;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7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937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'Analysis'!$B$17:$B$20</f>
            </numRef>
          </cat>
          <val>
            <numRef>
              <f>'Analysis'!$I$17:$I$20</f>
            </numRef>
          </val>
        </ser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75569"/>
              </a:solidFill>
              <a:latin typeface="Arial"/>
            </a:defRPr>
          </a:pPr>
          <a:r>
            <a:t/>
          </a:r>
          <a:endParaRPr sz="900" b="0">
            <a:solidFill>
              <a:srgbClr val="475569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CE4"/>
      </a:solidFill>
      <a:prstDash val="solid"/>
    </a:ln>
  </spPr>
</chartSpace>
</file>

<file path=xl/charts/chart2.xml><?xml version="1.0" encoding="utf-8"?>
<chartSpace xmlns="http://schemas.openxmlformats.org/drawingml/2006/chart">
  <roundedCorners val="0"/>
  <chart>
    <autoTitleDeleted val="1"/>
    <plotArea>
      <barChart>
        <barDir val="col"/>
        <grouping val="clustered"/>
        <ser>
          <idx val="0"/>
          <order val="0"/>
          <tx>
            <strRef>
              <f>'Analysis'!$H$15</f>
            </strRef>
          </tx>
          <spPr>
            <a:solidFill xmlns:a="http://schemas.openxmlformats.org/drawingml/2006/main">
              <a:srgbClr val="1F7A8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;-#,##0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7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937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'Analysis'!$B$17:$B$20</f>
            </numRef>
          </cat>
          <val>
            <numRef>
              <f>'Analysis'!$H$17:$H$20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CE4"/>
      </a:solidFill>
      <a:prstDash val="solid"/>
    </a:ln>
  </spPr>
</chartSpace>
</file>

<file path=xl/charts/chart3.xml><?xml version="1.0" encoding="utf-8"?>
<chartSpace xmlns="http://schemas.openxmlformats.org/drawingml/2006/chart">
  <roundedCorners val="0"/>
  <chart>
    <autoTitleDeleted val="1"/>
    <plotArea>
      <layout>
        <manualLayout>
          <layoutTarget val="inner"/>
          <xMode val="edge"/>
          <yMode val="edge"/>
          <wMode val="factor"/>
          <hMode val="factor"/>
          <x val="0.39"/>
          <y val="0.03"/>
          <w val="0.47"/>
          <h val="0.9399999999999999"/>
        </manualLayout>
      </layout>
      <barChart>
        <barDir val="bar"/>
        <grouping val="clustered"/>
        <ser>
          <idx val="0"/>
          <order val="0"/>
          <tx>
            <strRef>
              <f>'Analysis'!$D$36</f>
            </strRef>
          </tx>
          <spPr>
            <a:solidFill xmlns:a="http://schemas.openxmlformats.org/drawingml/2006/main">
              <a:srgbClr val="1F7A8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&quot;x&quot;;-0.0&quot;x&quot;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937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937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'Analysis'!$C$37:$C$45</f>
            </numRef>
          </cat>
          <val>
            <numRef>
              <f>'Analysis'!$D$37:$D$45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D5DCE4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twoCell">
    <from>
      <col>1</col>
      <colOff>0</colOff>
      <row>12</row>
      <rowOff>30000</rowOff>
    </from>
    <to>
      <col>5</col>
      <colOff>591034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twoCell">
    <from>
      <col>6</col>
      <colOff>70000</colOff>
      <row>12</row>
      <rowOff>30000</rowOff>
    </from>
    <to>
      <col>10</col>
      <colOff>591034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twoCell">
    <from>
      <col>11</col>
      <colOff>70000</colOff>
      <row>12</row>
      <rowOff>30000</rowOff>
    </from>
    <to>
      <col>15</col>
      <colOff>661034</colOff>
      <row>28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mpaignData" displayName="tblCampaignData" ref="A4:I164" headerRowCount="1">
  <autoFilter ref="A4:I164"/>
  <tableColumns count="9">
    <tableColumn id="1" name="Date"/>
    <tableColumn id="2" name="Campaign Name"/>
    <tableColumn id="3" name="Marketing Channel"/>
    <tableColumn id="4" name="Impressions"/>
    <tableColumn id="5" name="Clicks"/>
    <tableColumn id="6" name="Marketing Spend"/>
    <tableColumn id="7" name="Leads"/>
    <tableColumn id="8" name="Conversions"/>
    <tableColumn id="9" name="Attributed Revenu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B48"/>
    <outlinePr summaryBelow="1" summaryRight="1"/>
    <pageSetUpPr fitToPage="1"/>
  </sheetPr>
  <dimension ref="A1:I16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14" customWidth="1" min="4" max="4"/>
    <col width="11" customWidth="1" min="5" max="5"/>
    <col width="17" customWidth="1" min="6" max="6"/>
    <col width="10" customWidth="1" min="7" max="7"/>
    <col width="13" customWidth="1" min="8" max="8"/>
    <col width="19" customWidth="1" min="9" max="9"/>
  </cols>
  <sheetData>
    <row r="1">
      <c r="A1" s="1" t="inlineStr">
        <is>
          <t>Campaign Data (simulated)</t>
        </is>
      </c>
    </row>
    <row r="2">
      <c r="A2" s="2" t="inlineStr">
        <is>
          <t>SIMULATED DATA - fictional brand and figures created for a portfolio project; not real company results. One row per campaign per week (Date = Monday of the week). Currency: INR. For Email Marketing, Impressions = emails delivered.</t>
        </is>
      </c>
    </row>
    <row r="4" ht="30" customHeight="1">
      <c r="A4" s="3" t="inlineStr">
        <is>
          <t>Date</t>
        </is>
      </c>
      <c r="B4" s="3" t="inlineStr">
        <is>
          <t>Campaign Name</t>
        </is>
      </c>
      <c r="C4" s="3" t="inlineStr">
        <is>
          <t>Marketing Channel</t>
        </is>
      </c>
      <c r="D4" s="3" t="inlineStr">
        <is>
          <t>Impressions</t>
        </is>
      </c>
      <c r="E4" s="3" t="inlineStr">
        <is>
          <t>Clicks</t>
        </is>
      </c>
      <c r="F4" s="3" t="inlineStr">
        <is>
          <t>Marketing Spend</t>
        </is>
      </c>
      <c r="G4" s="3" t="inlineStr">
        <is>
          <t>Leads</t>
        </is>
      </c>
      <c r="H4" s="3" t="inlineStr">
        <is>
          <t>Conversions</t>
        </is>
      </c>
      <c r="I4" s="3" t="inlineStr">
        <is>
          <t>Attributed Revenue</t>
        </is>
      </c>
    </row>
    <row r="5">
      <c r="A5" s="4" t="n">
        <v>46167</v>
      </c>
      <c r="B5" s="5" t="inlineStr">
        <is>
          <t>Brand Search</t>
        </is>
      </c>
      <c r="C5" s="5" t="inlineStr">
        <is>
          <t>Paid Search</t>
        </is>
      </c>
      <c r="D5" s="6" t="n">
        <v>39741</v>
      </c>
      <c r="E5" s="6" t="n">
        <v>2561</v>
      </c>
      <c r="F5" s="7" t="n">
        <v>41569</v>
      </c>
      <c r="G5" s="6" t="n">
        <v>353</v>
      </c>
      <c r="H5" s="6" t="n">
        <v>114</v>
      </c>
      <c r="I5" s="7" t="n">
        <v>357418</v>
      </c>
    </row>
    <row r="6">
      <c r="A6" s="4" t="n">
        <v>46167</v>
      </c>
      <c r="B6" s="5" t="inlineStr">
        <is>
          <t>Generic Kitchen Search</t>
        </is>
      </c>
      <c r="C6" s="5" t="inlineStr">
        <is>
          <t>Paid Search</t>
        </is>
      </c>
      <c r="D6" s="6" t="n">
        <v>86716</v>
      </c>
      <c r="E6" s="6" t="n">
        <v>2874</v>
      </c>
      <c r="F6" s="7" t="n">
        <v>78284</v>
      </c>
      <c r="G6" s="6" t="n">
        <v>287</v>
      </c>
      <c r="H6" s="6" t="n">
        <v>63</v>
      </c>
      <c r="I6" s="7" t="n">
        <v>263872</v>
      </c>
    </row>
    <row r="7">
      <c r="A7" s="4" t="n">
        <v>46167</v>
      </c>
      <c r="B7" s="5" t="inlineStr">
        <is>
          <t>Instagram Reels Sale</t>
        </is>
      </c>
      <c r="C7" s="5" t="inlineStr">
        <is>
          <t>Paid Social</t>
        </is>
      </c>
      <c r="D7" s="6" t="n">
        <v>406794</v>
      </c>
      <c r="E7" s="6" t="n">
        <v>4960</v>
      </c>
      <c r="F7" s="7" t="n">
        <v>59234</v>
      </c>
      <c r="G7" s="6" t="n">
        <v>230</v>
      </c>
      <c r="H7" s="6" t="n">
        <v>25</v>
      </c>
      <c r="I7" s="7" t="n">
        <v>75459</v>
      </c>
    </row>
    <row r="8">
      <c r="A8" s="4" t="n">
        <v>46167</v>
      </c>
      <c r="B8" s="5" t="inlineStr">
        <is>
          <t>Cart Retargeting</t>
        </is>
      </c>
      <c r="C8" s="5" t="inlineStr">
        <is>
          <t>Paid Social</t>
        </is>
      </c>
      <c r="D8" s="6" t="n">
        <v>110242</v>
      </c>
      <c r="E8" s="6" t="n">
        <v>2424</v>
      </c>
      <c r="F8" s="7" t="n">
        <v>34719</v>
      </c>
      <c r="G8" s="6" t="n">
        <v>360</v>
      </c>
      <c r="H8" s="6" t="n">
        <v>55</v>
      </c>
      <c r="I8" s="7" t="n">
        <v>166086</v>
      </c>
    </row>
    <row r="9">
      <c r="A9" s="4" t="n">
        <v>46167</v>
      </c>
      <c r="B9" s="5" t="inlineStr">
        <is>
          <t>Welcome Series</t>
        </is>
      </c>
      <c r="C9" s="5" t="inlineStr">
        <is>
          <t>Email Marketing</t>
        </is>
      </c>
      <c r="D9" s="6" t="n">
        <v>27391</v>
      </c>
      <c r="E9" s="6" t="n">
        <v>912</v>
      </c>
      <c r="F9" s="7" t="n">
        <v>5839</v>
      </c>
      <c r="G9" s="6" t="n">
        <v>169</v>
      </c>
      <c r="H9" s="6" t="n">
        <v>27</v>
      </c>
      <c r="I9" s="7" t="n">
        <v>72251</v>
      </c>
    </row>
    <row r="10">
      <c r="A10" s="4" t="n">
        <v>46167</v>
      </c>
      <c r="B10" s="5" t="inlineStr">
        <is>
          <t>Programmatic Banners</t>
        </is>
      </c>
      <c r="C10" s="5" t="inlineStr">
        <is>
          <t>Display Advertising</t>
        </is>
      </c>
      <c r="D10" s="6" t="n">
        <v>1850401</v>
      </c>
      <c r="E10" s="6" t="n">
        <v>6873</v>
      </c>
      <c r="F10" s="7" t="n">
        <v>82934</v>
      </c>
      <c r="G10" s="6" t="n">
        <v>182</v>
      </c>
      <c r="H10" s="6" t="n">
        <v>22</v>
      </c>
      <c r="I10" s="7" t="n">
        <v>72604</v>
      </c>
    </row>
    <row r="11">
      <c r="A11" s="4" t="n">
        <v>46174</v>
      </c>
      <c r="B11" s="5" t="inlineStr">
        <is>
          <t>Brand Search</t>
        </is>
      </c>
      <c r="C11" s="5" t="inlineStr">
        <is>
          <t>Paid Search</t>
        </is>
      </c>
      <c r="D11" s="6" t="n">
        <v>36616</v>
      </c>
      <c r="E11" s="6" t="n">
        <v>2688</v>
      </c>
      <c r="F11" s="7" t="n">
        <v>43792</v>
      </c>
      <c r="G11" s="6" t="n">
        <v>315</v>
      </c>
      <c r="H11" s="6" t="n">
        <v>103</v>
      </c>
      <c r="I11" s="7" t="n">
        <v>341692</v>
      </c>
    </row>
    <row r="12">
      <c r="A12" s="4" t="n">
        <v>46174</v>
      </c>
      <c r="B12" s="5" t="inlineStr">
        <is>
          <t>Generic Kitchen Search</t>
        </is>
      </c>
      <c r="C12" s="5" t="inlineStr">
        <is>
          <t>Paid Search</t>
        </is>
      </c>
      <c r="D12" s="6" t="n">
        <v>67711</v>
      </c>
      <c r="E12" s="6" t="n">
        <v>2317</v>
      </c>
      <c r="F12" s="7" t="n">
        <v>71502</v>
      </c>
      <c r="G12" s="6" t="n">
        <v>188</v>
      </c>
      <c r="H12" s="6" t="n">
        <v>29</v>
      </c>
      <c r="I12" s="7" t="n">
        <v>102023</v>
      </c>
    </row>
    <row r="13">
      <c r="A13" s="4" t="n">
        <v>46174</v>
      </c>
      <c r="B13" s="5" t="inlineStr">
        <is>
          <t>Instagram Reels Sale</t>
        </is>
      </c>
      <c r="C13" s="5" t="inlineStr">
        <is>
          <t>Paid Social</t>
        </is>
      </c>
      <c r="D13" s="6" t="n">
        <v>542305</v>
      </c>
      <c r="E13" s="6" t="n">
        <v>6128</v>
      </c>
      <c r="F13" s="7" t="n">
        <v>70925</v>
      </c>
      <c r="G13" s="6" t="n">
        <v>302</v>
      </c>
      <c r="H13" s="6" t="n">
        <v>38</v>
      </c>
      <c r="I13" s="7" t="n">
        <v>109748</v>
      </c>
    </row>
    <row r="14">
      <c r="A14" s="4" t="n">
        <v>46174</v>
      </c>
      <c r="B14" s="5" t="inlineStr">
        <is>
          <t>Cart Retargeting</t>
        </is>
      </c>
      <c r="C14" s="5" t="inlineStr">
        <is>
          <t>Paid Social</t>
        </is>
      </c>
      <c r="D14" s="6" t="n">
        <v>119690</v>
      </c>
      <c r="E14" s="6" t="n">
        <v>2790</v>
      </c>
      <c r="F14" s="7" t="n">
        <v>34954</v>
      </c>
      <c r="G14" s="6" t="n">
        <v>439</v>
      </c>
      <c r="H14" s="6" t="n">
        <v>72</v>
      </c>
      <c r="I14" s="7" t="n">
        <v>241351</v>
      </c>
    </row>
    <row r="15">
      <c r="A15" s="4" t="n">
        <v>46174</v>
      </c>
      <c r="B15" s="5" t="inlineStr">
        <is>
          <t>Welcome Series</t>
        </is>
      </c>
      <c r="C15" s="5" t="inlineStr">
        <is>
          <t>Email Marketing</t>
        </is>
      </c>
      <c r="D15" s="6" t="n">
        <v>17171</v>
      </c>
      <c r="E15" s="6" t="n">
        <v>762</v>
      </c>
      <c r="F15" s="7" t="n">
        <v>5349</v>
      </c>
      <c r="G15" s="6" t="n">
        <v>160</v>
      </c>
      <c r="H15" s="6" t="n">
        <v>19</v>
      </c>
      <c r="I15" s="7" t="n">
        <v>53541</v>
      </c>
    </row>
    <row r="16">
      <c r="A16" s="4" t="n">
        <v>46174</v>
      </c>
      <c r="B16" s="5" t="inlineStr">
        <is>
          <t>Programmatic Banners</t>
        </is>
      </c>
      <c r="C16" s="5" t="inlineStr">
        <is>
          <t>Display Advertising</t>
        </is>
      </c>
      <c r="D16" s="6" t="n">
        <v>2354392</v>
      </c>
      <c r="E16" s="6" t="n">
        <v>8448</v>
      </c>
      <c r="F16" s="7" t="n">
        <v>97968</v>
      </c>
      <c r="G16" s="6" t="n">
        <v>238</v>
      </c>
      <c r="H16" s="6" t="n">
        <v>24</v>
      </c>
      <c r="I16" s="7" t="n">
        <v>80351</v>
      </c>
    </row>
    <row r="17">
      <c r="A17" s="4" t="n">
        <v>46181</v>
      </c>
      <c r="B17" s="5" t="inlineStr">
        <is>
          <t>Brand Search</t>
        </is>
      </c>
      <c r="C17" s="5" t="inlineStr">
        <is>
          <t>Paid Search</t>
        </is>
      </c>
      <c r="D17" s="6" t="n">
        <v>37264</v>
      </c>
      <c r="E17" s="6" t="n">
        <v>2831</v>
      </c>
      <c r="F17" s="7" t="n">
        <v>45070</v>
      </c>
      <c r="G17" s="6" t="n">
        <v>319</v>
      </c>
      <c r="H17" s="6" t="n">
        <v>91</v>
      </c>
      <c r="I17" s="7" t="n">
        <v>302593</v>
      </c>
    </row>
    <row r="18">
      <c r="A18" s="4" t="n">
        <v>46181</v>
      </c>
      <c r="B18" s="5" t="inlineStr">
        <is>
          <t>Generic Kitchen Search</t>
        </is>
      </c>
      <c r="C18" s="5" t="inlineStr">
        <is>
          <t>Paid Search</t>
        </is>
      </c>
      <c r="D18" s="6" t="n">
        <v>87777</v>
      </c>
      <c r="E18" s="6" t="n">
        <v>2963</v>
      </c>
      <c r="F18" s="7" t="n">
        <v>75971</v>
      </c>
      <c r="G18" s="6" t="n">
        <v>329</v>
      </c>
      <c r="H18" s="6" t="n">
        <v>73</v>
      </c>
      <c r="I18" s="7" t="n">
        <v>314451</v>
      </c>
    </row>
    <row r="19">
      <c r="A19" s="4" t="n">
        <v>46181</v>
      </c>
      <c r="B19" s="5" t="inlineStr">
        <is>
          <t>Instagram Reels Sale</t>
        </is>
      </c>
      <c r="C19" s="5" t="inlineStr">
        <is>
          <t>Paid Social</t>
        </is>
      </c>
      <c r="D19" s="6" t="n">
        <v>482838</v>
      </c>
      <c r="E19" s="6" t="n">
        <v>5312</v>
      </c>
      <c r="F19" s="7" t="n">
        <v>62864</v>
      </c>
      <c r="G19" s="6" t="n">
        <v>261</v>
      </c>
      <c r="H19" s="6" t="n">
        <v>29</v>
      </c>
      <c r="I19" s="7" t="n">
        <v>97198</v>
      </c>
    </row>
    <row r="20">
      <c r="A20" s="4" t="n">
        <v>46181</v>
      </c>
      <c r="B20" s="5" t="inlineStr">
        <is>
          <t>Cart Retargeting</t>
        </is>
      </c>
      <c r="C20" s="5" t="inlineStr">
        <is>
          <t>Paid Social</t>
        </is>
      </c>
      <c r="D20" s="6" t="n">
        <v>122586</v>
      </c>
      <c r="E20" s="6" t="n">
        <v>2330</v>
      </c>
      <c r="F20" s="7" t="n">
        <v>32967</v>
      </c>
      <c r="G20" s="6" t="n">
        <v>317</v>
      </c>
      <c r="H20" s="6" t="n">
        <v>48</v>
      </c>
      <c r="I20" s="7" t="n">
        <v>164459</v>
      </c>
    </row>
    <row r="21">
      <c r="A21" s="4" t="n">
        <v>46181</v>
      </c>
      <c r="B21" s="5" t="inlineStr">
        <is>
          <t>Welcome Series</t>
        </is>
      </c>
      <c r="C21" s="5" t="inlineStr">
        <is>
          <t>Email Marketing</t>
        </is>
      </c>
      <c r="D21" s="6" t="n">
        <v>28291</v>
      </c>
      <c r="E21" s="6" t="n">
        <v>1097</v>
      </c>
      <c r="F21" s="7" t="n">
        <v>7759</v>
      </c>
      <c r="G21" s="6" t="n">
        <v>245</v>
      </c>
      <c r="H21" s="6" t="n">
        <v>42</v>
      </c>
      <c r="I21" s="7" t="n">
        <v>126576</v>
      </c>
    </row>
    <row r="22">
      <c r="A22" s="4" t="n">
        <v>46181</v>
      </c>
      <c r="B22" s="5" t="inlineStr">
        <is>
          <t>Programmatic Banners</t>
        </is>
      </c>
      <c r="C22" s="5" t="inlineStr">
        <is>
          <t>Display Advertising</t>
        </is>
      </c>
      <c r="D22" s="6" t="n">
        <v>2079833</v>
      </c>
      <c r="E22" s="6" t="n">
        <v>8263</v>
      </c>
      <c r="F22" s="7" t="n">
        <v>87614</v>
      </c>
      <c r="G22" s="6" t="n">
        <v>274</v>
      </c>
      <c r="H22" s="6" t="n">
        <v>32</v>
      </c>
      <c r="I22" s="7" t="n">
        <v>102946</v>
      </c>
    </row>
    <row r="23">
      <c r="A23" s="4" t="n">
        <v>46188</v>
      </c>
      <c r="B23" s="5" t="inlineStr">
        <is>
          <t>Brand Search</t>
        </is>
      </c>
      <c r="C23" s="5" t="inlineStr">
        <is>
          <t>Paid Search</t>
        </is>
      </c>
      <c r="D23" s="6" t="n">
        <v>42263</v>
      </c>
      <c r="E23" s="6" t="n">
        <v>3051</v>
      </c>
      <c r="F23" s="7" t="n">
        <v>44950</v>
      </c>
      <c r="G23" s="6" t="n">
        <v>391</v>
      </c>
      <c r="H23" s="6" t="n">
        <v>114</v>
      </c>
      <c r="I23" s="7" t="n">
        <v>361022</v>
      </c>
    </row>
    <row r="24">
      <c r="A24" s="4" t="n">
        <v>46188</v>
      </c>
      <c r="B24" s="5" t="inlineStr">
        <is>
          <t>Generic Kitchen Search</t>
        </is>
      </c>
      <c r="C24" s="5" t="inlineStr">
        <is>
          <t>Paid Search</t>
        </is>
      </c>
      <c r="D24" s="6" t="n">
        <v>66407</v>
      </c>
      <c r="E24" s="6" t="n">
        <v>2624</v>
      </c>
      <c r="F24" s="7" t="n">
        <v>63392</v>
      </c>
      <c r="G24" s="6" t="n">
        <v>205</v>
      </c>
      <c r="H24" s="6" t="n">
        <v>41</v>
      </c>
      <c r="I24" s="7" t="n">
        <v>158186</v>
      </c>
    </row>
    <row r="25">
      <c r="A25" s="4" t="n">
        <v>46188</v>
      </c>
      <c r="B25" s="5" t="inlineStr">
        <is>
          <t>Instagram Reels Sale</t>
        </is>
      </c>
      <c r="C25" s="5" t="inlineStr">
        <is>
          <t>Paid Social</t>
        </is>
      </c>
      <c r="D25" s="6" t="n">
        <v>404530</v>
      </c>
      <c r="E25" s="6" t="n">
        <v>5004</v>
      </c>
      <c r="F25" s="7" t="n">
        <v>61723</v>
      </c>
      <c r="G25" s="6" t="n">
        <v>224</v>
      </c>
      <c r="H25" s="6" t="n">
        <v>23</v>
      </c>
      <c r="I25" s="7" t="n">
        <v>66882</v>
      </c>
    </row>
    <row r="26">
      <c r="A26" s="4" t="n">
        <v>46188</v>
      </c>
      <c r="B26" s="5" t="inlineStr">
        <is>
          <t>Cart Retargeting</t>
        </is>
      </c>
      <c r="C26" s="5" t="inlineStr">
        <is>
          <t>Paid Social</t>
        </is>
      </c>
      <c r="D26" s="6" t="n">
        <v>151976</v>
      </c>
      <c r="E26" s="6" t="n">
        <v>2809</v>
      </c>
      <c r="F26" s="7" t="n">
        <v>37544</v>
      </c>
      <c r="G26" s="6" t="n">
        <v>422</v>
      </c>
      <c r="H26" s="6" t="n">
        <v>73</v>
      </c>
      <c r="I26" s="7" t="n">
        <v>221835</v>
      </c>
    </row>
    <row r="27">
      <c r="A27" s="4" t="n">
        <v>46188</v>
      </c>
      <c r="B27" s="5" t="inlineStr">
        <is>
          <t>Welcome Series</t>
        </is>
      </c>
      <c r="C27" s="5" t="inlineStr">
        <is>
          <t>Email Marketing</t>
        </is>
      </c>
      <c r="D27" s="6" t="n">
        <v>26060</v>
      </c>
      <c r="E27" s="6" t="n">
        <v>892</v>
      </c>
      <c r="F27" s="7" t="n">
        <v>6172</v>
      </c>
      <c r="G27" s="6" t="n">
        <v>181</v>
      </c>
      <c r="H27" s="6" t="n">
        <v>29</v>
      </c>
      <c r="I27" s="7" t="n">
        <v>74263</v>
      </c>
    </row>
    <row r="28">
      <c r="A28" s="4" t="n">
        <v>46188</v>
      </c>
      <c r="B28" s="5" t="inlineStr">
        <is>
          <t>Programmatic Banners</t>
        </is>
      </c>
      <c r="C28" s="5" t="inlineStr">
        <is>
          <t>Display Advertising</t>
        </is>
      </c>
      <c r="D28" s="6" t="n">
        <v>2118894</v>
      </c>
      <c r="E28" s="6" t="n">
        <v>7608</v>
      </c>
      <c r="F28" s="7" t="n">
        <v>83051</v>
      </c>
      <c r="G28" s="6" t="n">
        <v>251</v>
      </c>
      <c r="H28" s="6" t="n">
        <v>27</v>
      </c>
      <c r="I28" s="7" t="n">
        <v>95212</v>
      </c>
    </row>
    <row r="29">
      <c r="A29" s="4" t="n">
        <v>46195</v>
      </c>
      <c r="B29" s="5" t="inlineStr">
        <is>
          <t>Brand Search</t>
        </is>
      </c>
      <c r="C29" s="5" t="inlineStr">
        <is>
          <t>Paid Search</t>
        </is>
      </c>
      <c r="D29" s="6" t="n">
        <v>38551</v>
      </c>
      <c r="E29" s="6" t="n">
        <v>2731</v>
      </c>
      <c r="F29" s="7" t="n">
        <v>48751</v>
      </c>
      <c r="G29" s="6" t="n">
        <v>375</v>
      </c>
      <c r="H29" s="6" t="n">
        <v>97</v>
      </c>
      <c r="I29" s="7" t="n">
        <v>314225</v>
      </c>
    </row>
    <row r="30">
      <c r="A30" s="4" t="n">
        <v>46195</v>
      </c>
      <c r="B30" s="5" t="inlineStr">
        <is>
          <t>Generic Kitchen Search</t>
        </is>
      </c>
      <c r="C30" s="5" t="inlineStr">
        <is>
          <t>Paid Search</t>
        </is>
      </c>
      <c r="D30" s="6" t="n">
        <v>52274</v>
      </c>
      <c r="E30" s="6" t="n">
        <v>2071</v>
      </c>
      <c r="F30" s="7" t="n">
        <v>63663</v>
      </c>
      <c r="G30" s="6" t="n">
        <v>197</v>
      </c>
      <c r="H30" s="6" t="n">
        <v>39</v>
      </c>
      <c r="I30" s="7" t="n">
        <v>150199</v>
      </c>
    </row>
    <row r="31">
      <c r="A31" s="4" t="n">
        <v>46195</v>
      </c>
      <c r="B31" s="5" t="inlineStr">
        <is>
          <t>Instagram Reels Sale</t>
        </is>
      </c>
      <c r="C31" s="5" t="inlineStr">
        <is>
          <t>Paid Social</t>
        </is>
      </c>
      <c r="D31" s="6" t="n">
        <v>526069</v>
      </c>
      <c r="E31" s="6" t="n">
        <v>5990</v>
      </c>
      <c r="F31" s="7" t="n">
        <v>69453</v>
      </c>
      <c r="G31" s="6" t="n">
        <v>224</v>
      </c>
      <c r="H31" s="6" t="n">
        <v>26</v>
      </c>
      <c r="I31" s="7" t="n">
        <v>79725</v>
      </c>
    </row>
    <row r="32">
      <c r="A32" s="4" t="n">
        <v>46195</v>
      </c>
      <c r="B32" s="5" t="inlineStr">
        <is>
          <t>Cart Retargeting</t>
        </is>
      </c>
      <c r="C32" s="5" t="inlineStr">
        <is>
          <t>Paid Social</t>
        </is>
      </c>
      <c r="D32" s="6" t="n">
        <v>131003</v>
      </c>
      <c r="E32" s="6" t="n">
        <v>2587</v>
      </c>
      <c r="F32" s="7" t="n">
        <v>35868</v>
      </c>
      <c r="G32" s="6" t="n">
        <v>366</v>
      </c>
      <c r="H32" s="6" t="n">
        <v>69</v>
      </c>
      <c r="I32" s="7" t="n">
        <v>241258</v>
      </c>
    </row>
    <row r="33">
      <c r="A33" s="4" t="n">
        <v>46195</v>
      </c>
      <c r="B33" s="5" t="inlineStr">
        <is>
          <t>Welcome Series</t>
        </is>
      </c>
      <c r="C33" s="5" t="inlineStr">
        <is>
          <t>Email Marketing</t>
        </is>
      </c>
      <c r="D33" s="6" t="n">
        <v>23652</v>
      </c>
      <c r="E33" s="6" t="n">
        <v>835</v>
      </c>
      <c r="F33" s="7" t="n">
        <v>5834</v>
      </c>
      <c r="G33" s="6" t="n">
        <v>162</v>
      </c>
      <c r="H33" s="6" t="n">
        <v>27</v>
      </c>
      <c r="I33" s="7" t="n">
        <v>75052</v>
      </c>
    </row>
    <row r="34">
      <c r="A34" s="4" t="n">
        <v>46195</v>
      </c>
      <c r="B34" s="5" t="inlineStr">
        <is>
          <t>Win-back Offer</t>
        </is>
      </c>
      <c r="C34" s="5" t="inlineStr">
        <is>
          <t>Email Marketing</t>
        </is>
      </c>
      <c r="D34" s="6" t="n">
        <v>21722</v>
      </c>
      <c r="E34" s="6" t="n">
        <v>594</v>
      </c>
      <c r="F34" s="7" t="n">
        <v>4754</v>
      </c>
      <c r="G34" s="6" t="n">
        <v>56</v>
      </c>
      <c r="H34" s="6" t="n">
        <v>12</v>
      </c>
      <c r="I34" s="7" t="n">
        <v>38318</v>
      </c>
    </row>
    <row r="35">
      <c r="A35" s="4" t="n">
        <v>46195</v>
      </c>
      <c r="B35" s="5" t="inlineStr">
        <is>
          <t>Programmatic Banners</t>
        </is>
      </c>
      <c r="C35" s="5" t="inlineStr">
        <is>
          <t>Display Advertising</t>
        </is>
      </c>
      <c r="D35" s="6" t="n">
        <v>1678978</v>
      </c>
      <c r="E35" s="6" t="n">
        <v>7254</v>
      </c>
      <c r="F35" s="7" t="n">
        <v>84068</v>
      </c>
      <c r="G35" s="6" t="n">
        <v>244</v>
      </c>
      <c r="H35" s="6" t="n">
        <v>24</v>
      </c>
      <c r="I35" s="7" t="n">
        <v>83620</v>
      </c>
    </row>
    <row r="36">
      <c r="A36" s="4" t="n">
        <v>46202</v>
      </c>
      <c r="B36" s="5" t="inlineStr">
        <is>
          <t>Brand Search</t>
        </is>
      </c>
      <c r="C36" s="5" t="inlineStr">
        <is>
          <t>Paid Search</t>
        </is>
      </c>
      <c r="D36" s="6" t="n">
        <v>29349</v>
      </c>
      <c r="E36" s="6" t="n">
        <v>2353</v>
      </c>
      <c r="F36" s="7" t="n">
        <v>40834</v>
      </c>
      <c r="G36" s="6" t="n">
        <v>316</v>
      </c>
      <c r="H36" s="6" t="n">
        <v>85</v>
      </c>
      <c r="I36" s="7" t="n">
        <v>285351</v>
      </c>
    </row>
    <row r="37">
      <c r="A37" s="4" t="n">
        <v>46202</v>
      </c>
      <c r="B37" s="5" t="inlineStr">
        <is>
          <t>Generic Kitchen Search</t>
        </is>
      </c>
      <c r="C37" s="5" t="inlineStr">
        <is>
          <t>Paid Search</t>
        </is>
      </c>
      <c r="D37" s="6" t="n">
        <v>65490</v>
      </c>
      <c r="E37" s="6" t="n">
        <v>2273</v>
      </c>
      <c r="F37" s="7" t="n">
        <v>62734</v>
      </c>
      <c r="G37" s="6" t="n">
        <v>188</v>
      </c>
      <c r="H37" s="6" t="n">
        <v>42</v>
      </c>
      <c r="I37" s="7" t="n">
        <v>144433</v>
      </c>
    </row>
    <row r="38">
      <c r="A38" s="4" t="n">
        <v>46202</v>
      </c>
      <c r="B38" s="5" t="inlineStr">
        <is>
          <t>Instagram Reels Sale</t>
        </is>
      </c>
      <c r="C38" s="5" t="inlineStr">
        <is>
          <t>Paid Social</t>
        </is>
      </c>
      <c r="D38" s="6" t="n">
        <v>472139</v>
      </c>
      <c r="E38" s="6" t="n">
        <v>5519</v>
      </c>
      <c r="F38" s="7" t="n">
        <v>67956</v>
      </c>
      <c r="G38" s="6" t="n">
        <v>270</v>
      </c>
      <c r="H38" s="6" t="n">
        <v>36</v>
      </c>
      <c r="I38" s="7" t="n">
        <v>106979</v>
      </c>
    </row>
    <row r="39">
      <c r="A39" s="4" t="n">
        <v>46202</v>
      </c>
      <c r="B39" s="5" t="inlineStr">
        <is>
          <t>Cart Retargeting</t>
        </is>
      </c>
      <c r="C39" s="5" t="inlineStr">
        <is>
          <t>Paid Social</t>
        </is>
      </c>
      <c r="D39" s="6" t="n">
        <v>140978</v>
      </c>
      <c r="E39" s="6" t="n">
        <v>2781</v>
      </c>
      <c r="F39" s="7" t="n">
        <v>34778</v>
      </c>
      <c r="G39" s="6" t="n">
        <v>484</v>
      </c>
      <c r="H39" s="6" t="n">
        <v>74</v>
      </c>
      <c r="I39" s="7" t="n">
        <v>213945</v>
      </c>
    </row>
    <row r="40">
      <c r="A40" s="4" t="n">
        <v>46202</v>
      </c>
      <c r="B40" s="5" t="inlineStr">
        <is>
          <t>Welcome Series</t>
        </is>
      </c>
      <c r="C40" s="5" t="inlineStr">
        <is>
          <t>Email Marketing</t>
        </is>
      </c>
      <c r="D40" s="6" t="n">
        <v>27030</v>
      </c>
      <c r="E40" s="6" t="n">
        <v>889</v>
      </c>
      <c r="F40" s="7" t="n">
        <v>5779</v>
      </c>
      <c r="G40" s="6" t="n">
        <v>182</v>
      </c>
      <c r="H40" s="6" t="n">
        <v>28</v>
      </c>
      <c r="I40" s="7" t="n">
        <v>67973</v>
      </c>
    </row>
    <row r="41">
      <c r="A41" s="4" t="n">
        <v>46202</v>
      </c>
      <c r="B41" s="5" t="inlineStr">
        <is>
          <t>Win-back Offer</t>
        </is>
      </c>
      <c r="C41" s="5" t="inlineStr">
        <is>
          <t>Email Marketing</t>
        </is>
      </c>
      <c r="D41" s="6" t="n">
        <v>22188</v>
      </c>
      <c r="E41" s="6" t="n">
        <v>612</v>
      </c>
      <c r="F41" s="7" t="n">
        <v>5532</v>
      </c>
      <c r="G41" s="6" t="n">
        <v>76</v>
      </c>
      <c r="H41" s="6" t="n">
        <v>16</v>
      </c>
      <c r="I41" s="7" t="n">
        <v>51812</v>
      </c>
    </row>
    <row r="42">
      <c r="A42" s="4" t="n">
        <v>46202</v>
      </c>
      <c r="B42" s="5" t="inlineStr">
        <is>
          <t>Programmatic Banners</t>
        </is>
      </c>
      <c r="C42" s="5" t="inlineStr">
        <is>
          <t>Display Advertising</t>
        </is>
      </c>
      <c r="D42" s="6" t="n">
        <v>1751438</v>
      </c>
      <c r="E42" s="6" t="n">
        <v>7578</v>
      </c>
      <c r="F42" s="7" t="n">
        <v>81759</v>
      </c>
      <c r="G42" s="6" t="n">
        <v>229</v>
      </c>
      <c r="H42" s="6" t="n">
        <v>22</v>
      </c>
      <c r="I42" s="7" t="n">
        <v>78026</v>
      </c>
    </row>
    <row r="43">
      <c r="A43" s="4" t="n">
        <v>46209</v>
      </c>
      <c r="B43" s="5" t="inlineStr">
        <is>
          <t>Brand Search</t>
        </is>
      </c>
      <c r="C43" s="5" t="inlineStr">
        <is>
          <t>Paid Search</t>
        </is>
      </c>
      <c r="D43" s="6" t="n">
        <v>35979</v>
      </c>
      <c r="E43" s="6" t="n">
        <v>2810</v>
      </c>
      <c r="F43" s="7" t="n">
        <v>43749</v>
      </c>
      <c r="G43" s="6" t="n">
        <v>368</v>
      </c>
      <c r="H43" s="6" t="n">
        <v>113</v>
      </c>
      <c r="I43" s="7" t="n">
        <v>346049</v>
      </c>
    </row>
    <row r="44">
      <c r="A44" s="4" t="n">
        <v>46209</v>
      </c>
      <c r="B44" s="5" t="inlineStr">
        <is>
          <t>Generic Kitchen Search</t>
        </is>
      </c>
      <c r="C44" s="5" t="inlineStr">
        <is>
          <t>Paid Search</t>
        </is>
      </c>
      <c r="D44" s="6" t="n">
        <v>75098</v>
      </c>
      <c r="E44" s="6" t="n">
        <v>2735</v>
      </c>
      <c r="F44" s="7" t="n">
        <v>66897</v>
      </c>
      <c r="G44" s="6" t="n">
        <v>265</v>
      </c>
      <c r="H44" s="6" t="n">
        <v>57</v>
      </c>
      <c r="I44" s="7" t="n">
        <v>265687</v>
      </c>
    </row>
    <row r="45">
      <c r="A45" s="4" t="n">
        <v>46209</v>
      </c>
      <c r="B45" s="5" t="inlineStr">
        <is>
          <t>Instagram Reels Sale</t>
        </is>
      </c>
      <c r="C45" s="5" t="inlineStr">
        <is>
          <t>Paid Social</t>
        </is>
      </c>
      <c r="D45" s="6" t="n">
        <v>367616</v>
      </c>
      <c r="E45" s="6" t="n">
        <v>4047</v>
      </c>
      <c r="F45" s="7" t="n">
        <v>51629</v>
      </c>
      <c r="G45" s="6" t="n">
        <v>232</v>
      </c>
      <c r="H45" s="6" t="n">
        <v>34</v>
      </c>
      <c r="I45" s="7" t="n">
        <v>107592</v>
      </c>
    </row>
    <row r="46">
      <c r="A46" s="4" t="n">
        <v>46209</v>
      </c>
      <c r="B46" s="5" t="inlineStr">
        <is>
          <t>Cart Retargeting</t>
        </is>
      </c>
      <c r="C46" s="5" t="inlineStr">
        <is>
          <t>Paid Social</t>
        </is>
      </c>
      <c r="D46" s="6" t="n">
        <v>109075</v>
      </c>
      <c r="E46" s="6" t="n">
        <v>2376</v>
      </c>
      <c r="F46" s="7" t="n">
        <v>33509</v>
      </c>
      <c r="G46" s="6" t="n">
        <v>361</v>
      </c>
      <c r="H46" s="6" t="n">
        <v>55</v>
      </c>
      <c r="I46" s="7" t="n">
        <v>201586</v>
      </c>
    </row>
    <row r="47">
      <c r="A47" s="4" t="n">
        <v>46209</v>
      </c>
      <c r="B47" s="5" t="inlineStr">
        <is>
          <t>Welcome Series</t>
        </is>
      </c>
      <c r="C47" s="5" t="inlineStr">
        <is>
          <t>Email Marketing</t>
        </is>
      </c>
      <c r="D47" s="6" t="n">
        <v>30126</v>
      </c>
      <c r="E47" s="6" t="n">
        <v>981</v>
      </c>
      <c r="F47" s="7" t="n">
        <v>6581</v>
      </c>
      <c r="G47" s="6" t="n">
        <v>219</v>
      </c>
      <c r="H47" s="6" t="n">
        <v>38</v>
      </c>
      <c r="I47" s="7" t="n">
        <v>101231</v>
      </c>
    </row>
    <row r="48">
      <c r="A48" s="4" t="n">
        <v>46209</v>
      </c>
      <c r="B48" s="5" t="inlineStr">
        <is>
          <t>Win-back Offer</t>
        </is>
      </c>
      <c r="C48" s="5" t="inlineStr">
        <is>
          <t>Email Marketing</t>
        </is>
      </c>
      <c r="D48" s="6" t="n">
        <v>19645</v>
      </c>
      <c r="E48" s="6" t="n">
        <v>602</v>
      </c>
      <c r="F48" s="7" t="n">
        <v>4931</v>
      </c>
      <c r="G48" s="6" t="n">
        <v>66</v>
      </c>
      <c r="H48" s="6" t="n">
        <v>17</v>
      </c>
      <c r="I48" s="7" t="n">
        <v>56363</v>
      </c>
    </row>
    <row r="49">
      <c r="A49" s="4" t="n">
        <v>46209</v>
      </c>
      <c r="B49" s="5" t="inlineStr">
        <is>
          <t>Programmatic Banners</t>
        </is>
      </c>
      <c r="C49" s="5" t="inlineStr">
        <is>
          <t>Display Advertising</t>
        </is>
      </c>
      <c r="D49" s="6" t="n">
        <v>2275136</v>
      </c>
      <c r="E49" s="6" t="n">
        <v>8641</v>
      </c>
      <c r="F49" s="7" t="n">
        <v>90849</v>
      </c>
      <c r="G49" s="6" t="n">
        <v>278</v>
      </c>
      <c r="H49" s="6" t="n">
        <v>30</v>
      </c>
      <c r="I49" s="7" t="n">
        <v>100514</v>
      </c>
    </row>
    <row r="50">
      <c r="A50" s="4" t="n">
        <v>46216</v>
      </c>
      <c r="B50" s="5" t="inlineStr">
        <is>
          <t>Brand Search</t>
        </is>
      </c>
      <c r="C50" s="5" t="inlineStr">
        <is>
          <t>Paid Search</t>
        </is>
      </c>
      <c r="D50" s="6" t="n">
        <v>31036</v>
      </c>
      <c r="E50" s="6" t="n">
        <v>2441</v>
      </c>
      <c r="F50" s="7" t="n">
        <v>42593</v>
      </c>
      <c r="G50" s="6" t="n">
        <v>315</v>
      </c>
      <c r="H50" s="6" t="n">
        <v>123</v>
      </c>
      <c r="I50" s="7" t="n">
        <v>371751</v>
      </c>
    </row>
    <row r="51">
      <c r="A51" s="4" t="n">
        <v>46216</v>
      </c>
      <c r="B51" s="5" t="inlineStr">
        <is>
          <t>Generic Kitchen Search</t>
        </is>
      </c>
      <c r="C51" s="5" t="inlineStr">
        <is>
          <t>Paid Search</t>
        </is>
      </c>
      <c r="D51" s="6" t="n">
        <v>67094</v>
      </c>
      <c r="E51" s="6" t="n">
        <v>2906</v>
      </c>
      <c r="F51" s="7" t="n">
        <v>76898</v>
      </c>
      <c r="G51" s="6" t="n">
        <v>239</v>
      </c>
      <c r="H51" s="6" t="n">
        <v>53</v>
      </c>
      <c r="I51" s="7" t="n">
        <v>212154</v>
      </c>
    </row>
    <row r="52">
      <c r="A52" s="4" t="n">
        <v>46216</v>
      </c>
      <c r="B52" s="5" t="inlineStr">
        <is>
          <t>Instagram Reels Sale</t>
        </is>
      </c>
      <c r="C52" s="5" t="inlineStr">
        <is>
          <t>Paid Social</t>
        </is>
      </c>
      <c r="D52" s="6" t="n">
        <v>482741</v>
      </c>
      <c r="E52" s="6" t="n">
        <v>5304</v>
      </c>
      <c r="F52" s="7" t="n">
        <v>71151</v>
      </c>
      <c r="G52" s="6" t="n">
        <v>272</v>
      </c>
      <c r="H52" s="6" t="n">
        <v>34</v>
      </c>
      <c r="I52" s="7" t="n">
        <v>95323</v>
      </c>
    </row>
    <row r="53">
      <c r="A53" s="4" t="n">
        <v>46216</v>
      </c>
      <c r="B53" s="5" t="inlineStr">
        <is>
          <t>Cart Retargeting</t>
        </is>
      </c>
      <c r="C53" s="5" t="inlineStr">
        <is>
          <t>Paid Social</t>
        </is>
      </c>
      <c r="D53" s="6" t="n">
        <v>156904</v>
      </c>
      <c r="E53" s="6" t="n">
        <v>3250</v>
      </c>
      <c r="F53" s="7" t="n">
        <v>43690</v>
      </c>
      <c r="G53" s="6" t="n">
        <v>443</v>
      </c>
      <c r="H53" s="6" t="n">
        <v>58</v>
      </c>
      <c r="I53" s="7" t="n">
        <v>205491</v>
      </c>
    </row>
    <row r="54">
      <c r="A54" s="4" t="n">
        <v>46216</v>
      </c>
      <c r="B54" s="5" t="inlineStr">
        <is>
          <t>Welcome Series</t>
        </is>
      </c>
      <c r="C54" s="5" t="inlineStr">
        <is>
          <t>Email Marketing</t>
        </is>
      </c>
      <c r="D54" s="6" t="n">
        <v>23825</v>
      </c>
      <c r="E54" s="6" t="n">
        <v>890</v>
      </c>
      <c r="F54" s="7" t="n">
        <v>5790</v>
      </c>
      <c r="G54" s="6" t="n">
        <v>195</v>
      </c>
      <c r="H54" s="6" t="n">
        <v>28</v>
      </c>
      <c r="I54" s="7" t="n">
        <v>86422</v>
      </c>
    </row>
    <row r="55">
      <c r="A55" s="4" t="n">
        <v>46216</v>
      </c>
      <c r="B55" s="5" t="inlineStr">
        <is>
          <t>Win-back Offer</t>
        </is>
      </c>
      <c r="C55" s="5" t="inlineStr">
        <is>
          <t>Email Marketing</t>
        </is>
      </c>
      <c r="D55" s="6" t="n">
        <v>26344</v>
      </c>
      <c r="E55" s="6" t="n">
        <v>737</v>
      </c>
      <c r="F55" s="7" t="n">
        <v>5154</v>
      </c>
      <c r="G55" s="6" t="n">
        <v>80</v>
      </c>
      <c r="H55" s="6" t="n">
        <v>17</v>
      </c>
      <c r="I55" s="7" t="n">
        <v>58163</v>
      </c>
    </row>
    <row r="56">
      <c r="A56" s="4" t="n">
        <v>46216</v>
      </c>
      <c r="B56" s="5" t="inlineStr">
        <is>
          <t>Programmatic Banners</t>
        </is>
      </c>
      <c r="C56" s="5" t="inlineStr">
        <is>
          <t>Display Advertising</t>
        </is>
      </c>
      <c r="D56" s="6" t="n">
        <v>2556208</v>
      </c>
      <c r="E56" s="6" t="n">
        <v>8761</v>
      </c>
      <c r="F56" s="7" t="n">
        <v>95798</v>
      </c>
      <c r="G56" s="6" t="n">
        <v>243</v>
      </c>
      <c r="H56" s="6" t="n">
        <v>20</v>
      </c>
      <c r="I56" s="7" t="n">
        <v>73678</v>
      </c>
    </row>
    <row r="57">
      <c r="A57" s="4" t="n">
        <v>46223</v>
      </c>
      <c r="B57" s="5" t="inlineStr">
        <is>
          <t>Brand Search</t>
        </is>
      </c>
      <c r="C57" s="5" t="inlineStr">
        <is>
          <t>Paid Search</t>
        </is>
      </c>
      <c r="D57" s="6" t="n">
        <v>36349</v>
      </c>
      <c r="E57" s="6" t="n">
        <v>3103</v>
      </c>
      <c r="F57" s="7" t="n">
        <v>59986</v>
      </c>
      <c r="G57" s="6" t="n">
        <v>404</v>
      </c>
      <c r="H57" s="6" t="n">
        <v>112</v>
      </c>
      <c r="I57" s="7" t="n">
        <v>384239</v>
      </c>
    </row>
    <row r="58">
      <c r="A58" s="4" t="n">
        <v>46223</v>
      </c>
      <c r="B58" s="5" t="inlineStr">
        <is>
          <t>Generic Kitchen Search</t>
        </is>
      </c>
      <c r="C58" s="5" t="inlineStr">
        <is>
          <t>Paid Search</t>
        </is>
      </c>
      <c r="D58" s="6" t="n">
        <v>58488</v>
      </c>
      <c r="E58" s="6" t="n">
        <v>2106</v>
      </c>
      <c r="F58" s="7" t="n">
        <v>64105</v>
      </c>
      <c r="G58" s="6" t="n">
        <v>201</v>
      </c>
      <c r="H58" s="6" t="n">
        <v>37</v>
      </c>
      <c r="I58" s="7" t="n">
        <v>154023</v>
      </c>
    </row>
    <row r="59">
      <c r="A59" s="4" t="n">
        <v>46223</v>
      </c>
      <c r="B59" s="5" t="inlineStr">
        <is>
          <t>Festive Gifting Search</t>
        </is>
      </c>
      <c r="C59" s="5" t="inlineStr">
        <is>
          <t>Paid Search</t>
        </is>
      </c>
      <c r="D59" s="6" t="n">
        <v>58738</v>
      </c>
      <c r="E59" s="6" t="n">
        <v>2785</v>
      </c>
      <c r="F59" s="7" t="n">
        <v>70889</v>
      </c>
      <c r="G59" s="6" t="n">
        <v>274</v>
      </c>
      <c r="H59" s="6" t="n">
        <v>53</v>
      </c>
      <c r="I59" s="7" t="n">
        <v>250481</v>
      </c>
    </row>
    <row r="60">
      <c r="A60" s="4" t="n">
        <v>46223</v>
      </c>
      <c r="B60" s="5" t="inlineStr">
        <is>
          <t>Instagram Reels Sale</t>
        </is>
      </c>
      <c r="C60" s="5" t="inlineStr">
        <is>
          <t>Paid Social</t>
        </is>
      </c>
      <c r="D60" s="6" t="n">
        <v>606018</v>
      </c>
      <c r="E60" s="6" t="n">
        <v>6859</v>
      </c>
      <c r="F60" s="7" t="n">
        <v>79485</v>
      </c>
      <c r="G60" s="6" t="n">
        <v>352</v>
      </c>
      <c r="H60" s="6" t="n">
        <v>48</v>
      </c>
      <c r="I60" s="7" t="n">
        <v>138067</v>
      </c>
    </row>
    <row r="61">
      <c r="A61" s="4" t="n">
        <v>46223</v>
      </c>
      <c r="B61" s="5" t="inlineStr">
        <is>
          <t>Cart Retargeting</t>
        </is>
      </c>
      <c r="C61" s="5" t="inlineStr">
        <is>
          <t>Paid Social</t>
        </is>
      </c>
      <c r="D61" s="6" t="n">
        <v>115461</v>
      </c>
      <c r="E61" s="6" t="n">
        <v>2368</v>
      </c>
      <c r="F61" s="7" t="n">
        <v>33486</v>
      </c>
      <c r="G61" s="6" t="n">
        <v>387</v>
      </c>
      <c r="H61" s="6" t="n">
        <v>51</v>
      </c>
      <c r="I61" s="7" t="n">
        <v>178085</v>
      </c>
    </row>
    <row r="62">
      <c r="A62" s="4" t="n">
        <v>46223</v>
      </c>
      <c r="B62" s="5" t="inlineStr">
        <is>
          <t>Welcome Series</t>
        </is>
      </c>
      <c r="C62" s="5" t="inlineStr">
        <is>
          <t>Email Marketing</t>
        </is>
      </c>
      <c r="D62" s="6" t="n">
        <v>25539</v>
      </c>
      <c r="E62" s="6" t="n">
        <v>947</v>
      </c>
      <c r="F62" s="7" t="n">
        <v>6577</v>
      </c>
      <c r="G62" s="6" t="n">
        <v>161</v>
      </c>
      <c r="H62" s="6" t="n">
        <v>23</v>
      </c>
      <c r="I62" s="7" t="n">
        <v>65545</v>
      </c>
    </row>
    <row r="63">
      <c r="A63" s="4" t="n">
        <v>46223</v>
      </c>
      <c r="B63" s="5" t="inlineStr">
        <is>
          <t>Win-back Offer</t>
        </is>
      </c>
      <c r="C63" s="5" t="inlineStr">
        <is>
          <t>Email Marketing</t>
        </is>
      </c>
      <c r="D63" s="6" t="n">
        <v>25437</v>
      </c>
      <c r="E63" s="6" t="n">
        <v>708</v>
      </c>
      <c r="F63" s="7" t="n">
        <v>5609</v>
      </c>
      <c r="G63" s="6" t="n">
        <v>89</v>
      </c>
      <c r="H63" s="6" t="n">
        <v>14</v>
      </c>
      <c r="I63" s="7" t="n">
        <v>43460</v>
      </c>
    </row>
    <row r="64">
      <c r="A64" s="4" t="n">
        <v>46223</v>
      </c>
      <c r="B64" s="5" t="inlineStr">
        <is>
          <t>Programmatic Banners</t>
        </is>
      </c>
      <c r="C64" s="5" t="inlineStr">
        <is>
          <t>Display Advertising</t>
        </is>
      </c>
      <c r="D64" s="6" t="n">
        <v>2428482</v>
      </c>
      <c r="E64" s="6" t="n">
        <v>8070</v>
      </c>
      <c r="F64" s="7" t="n">
        <v>89405</v>
      </c>
      <c r="G64" s="6" t="n">
        <v>209</v>
      </c>
      <c r="H64" s="6" t="n">
        <v>21</v>
      </c>
      <c r="I64" s="7" t="n">
        <v>63035</v>
      </c>
    </row>
    <row r="65">
      <c r="A65" s="4" t="n">
        <v>46223</v>
      </c>
      <c r="B65" s="5" t="inlineStr">
        <is>
          <t>Festive Display Takeover</t>
        </is>
      </c>
      <c r="C65" s="5" t="inlineStr">
        <is>
          <t>Display Advertising</t>
        </is>
      </c>
      <c r="D65" s="6" t="n">
        <v>1286498</v>
      </c>
      <c r="E65" s="6" t="n">
        <v>8476</v>
      </c>
      <c r="F65" s="7" t="n">
        <v>126831</v>
      </c>
      <c r="G65" s="6" t="n">
        <v>319</v>
      </c>
      <c r="H65" s="6" t="n">
        <v>48</v>
      </c>
      <c r="I65" s="7" t="n">
        <v>217436</v>
      </c>
    </row>
    <row r="66">
      <c r="A66" s="4" t="n">
        <v>46230</v>
      </c>
      <c r="B66" s="5" t="inlineStr">
        <is>
          <t>Brand Search</t>
        </is>
      </c>
      <c r="C66" s="5" t="inlineStr">
        <is>
          <t>Paid Search</t>
        </is>
      </c>
      <c r="D66" s="6" t="n">
        <v>38088</v>
      </c>
      <c r="E66" s="6" t="n">
        <v>2791</v>
      </c>
      <c r="F66" s="7" t="n">
        <v>44601</v>
      </c>
      <c r="G66" s="6" t="n">
        <v>345</v>
      </c>
      <c r="H66" s="6" t="n">
        <v>121</v>
      </c>
      <c r="I66" s="7" t="n">
        <v>372431</v>
      </c>
    </row>
    <row r="67">
      <c r="A67" s="4" t="n">
        <v>46230</v>
      </c>
      <c r="B67" s="5" t="inlineStr">
        <is>
          <t>Generic Kitchen Search</t>
        </is>
      </c>
      <c r="C67" s="5" t="inlineStr">
        <is>
          <t>Paid Search</t>
        </is>
      </c>
      <c r="D67" s="6" t="n">
        <v>65058</v>
      </c>
      <c r="E67" s="6" t="n">
        <v>2552</v>
      </c>
      <c r="F67" s="7" t="n">
        <v>64226</v>
      </c>
      <c r="G67" s="6" t="n">
        <v>220</v>
      </c>
      <c r="H67" s="6" t="n">
        <v>44</v>
      </c>
      <c r="I67" s="7" t="n">
        <v>191289</v>
      </c>
    </row>
    <row r="68">
      <c r="A68" s="4" t="n">
        <v>46230</v>
      </c>
      <c r="B68" s="5" t="inlineStr">
        <is>
          <t>Festive Gifting Search</t>
        </is>
      </c>
      <c r="C68" s="5" t="inlineStr">
        <is>
          <t>Paid Search</t>
        </is>
      </c>
      <c r="D68" s="6" t="n">
        <v>56940</v>
      </c>
      <c r="E68" s="6" t="n">
        <v>2537</v>
      </c>
      <c r="F68" s="7" t="n">
        <v>56223</v>
      </c>
      <c r="G68" s="6" t="n">
        <v>289</v>
      </c>
      <c r="H68" s="6" t="n">
        <v>71</v>
      </c>
      <c r="I68" s="7" t="n">
        <v>317101</v>
      </c>
    </row>
    <row r="69">
      <c r="A69" s="4" t="n">
        <v>46230</v>
      </c>
      <c r="B69" s="5" t="inlineStr">
        <is>
          <t>Instagram Reels Sale</t>
        </is>
      </c>
      <c r="C69" s="5" t="inlineStr">
        <is>
          <t>Paid Social</t>
        </is>
      </c>
      <c r="D69" s="6" t="n">
        <v>462240</v>
      </c>
      <c r="E69" s="6" t="n">
        <v>4949</v>
      </c>
      <c r="F69" s="7" t="n">
        <v>61217</v>
      </c>
      <c r="G69" s="6" t="n">
        <v>229</v>
      </c>
      <c r="H69" s="6" t="n">
        <v>25</v>
      </c>
      <c r="I69" s="7" t="n">
        <v>72754</v>
      </c>
    </row>
    <row r="70">
      <c r="A70" s="4" t="n">
        <v>46230</v>
      </c>
      <c r="B70" s="5" t="inlineStr">
        <is>
          <t>Cart Retargeting</t>
        </is>
      </c>
      <c r="C70" s="5" t="inlineStr">
        <is>
          <t>Paid Social</t>
        </is>
      </c>
      <c r="D70" s="6" t="n">
        <v>132440</v>
      </c>
      <c r="E70" s="6" t="n">
        <v>2496</v>
      </c>
      <c r="F70" s="7" t="n">
        <v>38202</v>
      </c>
      <c r="G70" s="6" t="n">
        <v>335</v>
      </c>
      <c r="H70" s="6" t="n">
        <v>53</v>
      </c>
      <c r="I70" s="7" t="n">
        <v>169722</v>
      </c>
    </row>
    <row r="71">
      <c r="A71" s="4" t="n">
        <v>46230</v>
      </c>
      <c r="B71" s="5" t="inlineStr">
        <is>
          <t>Welcome Series</t>
        </is>
      </c>
      <c r="C71" s="5" t="inlineStr">
        <is>
          <t>Email Marketing</t>
        </is>
      </c>
      <c r="D71" s="6" t="n">
        <v>21098</v>
      </c>
      <c r="E71" s="6" t="n">
        <v>757</v>
      </c>
      <c r="F71" s="7" t="n">
        <v>5994</v>
      </c>
      <c r="G71" s="6" t="n">
        <v>157</v>
      </c>
      <c r="H71" s="6" t="n">
        <v>20</v>
      </c>
      <c r="I71" s="7" t="n">
        <v>55270</v>
      </c>
    </row>
    <row r="72">
      <c r="A72" s="4" t="n">
        <v>46230</v>
      </c>
      <c r="B72" s="5" t="inlineStr">
        <is>
          <t>Win-back Offer</t>
        </is>
      </c>
      <c r="C72" s="5" t="inlineStr">
        <is>
          <t>Email Marketing</t>
        </is>
      </c>
      <c r="D72" s="6" t="n">
        <v>21264</v>
      </c>
      <c r="E72" s="6" t="n">
        <v>574</v>
      </c>
      <c r="F72" s="7" t="n">
        <v>4736</v>
      </c>
      <c r="G72" s="6" t="n">
        <v>74</v>
      </c>
      <c r="H72" s="6" t="n">
        <v>14</v>
      </c>
      <c r="I72" s="7" t="n">
        <v>47564</v>
      </c>
    </row>
    <row r="73">
      <c r="A73" s="4" t="n">
        <v>46230</v>
      </c>
      <c r="B73" s="5" t="inlineStr">
        <is>
          <t>Programmatic Banners</t>
        </is>
      </c>
      <c r="C73" s="5" t="inlineStr">
        <is>
          <t>Display Advertising</t>
        </is>
      </c>
      <c r="D73" s="6" t="n">
        <v>2160343</v>
      </c>
      <c r="E73" s="6" t="n">
        <v>8543</v>
      </c>
      <c r="F73" s="7" t="n">
        <v>93394</v>
      </c>
      <c r="G73" s="6" t="n">
        <v>255</v>
      </c>
      <c r="H73" s="6" t="n">
        <v>23</v>
      </c>
      <c r="I73" s="7" t="n">
        <v>72693</v>
      </c>
    </row>
    <row r="74">
      <c r="A74" s="4" t="n">
        <v>46230</v>
      </c>
      <c r="B74" s="5" t="inlineStr">
        <is>
          <t>Festive Display Takeover</t>
        </is>
      </c>
      <c r="C74" s="5" t="inlineStr">
        <is>
          <t>Display Advertising</t>
        </is>
      </c>
      <c r="D74" s="6" t="n">
        <v>1706260</v>
      </c>
      <c r="E74" s="6" t="n">
        <v>9693</v>
      </c>
      <c r="F74" s="7" t="n">
        <v>128368</v>
      </c>
      <c r="G74" s="6" t="n">
        <v>397</v>
      </c>
      <c r="H74" s="6" t="n">
        <v>66</v>
      </c>
      <c r="I74" s="7" t="n">
        <v>289501</v>
      </c>
    </row>
    <row r="75">
      <c r="A75" s="4" t="n">
        <v>46237</v>
      </c>
      <c r="B75" s="5" t="inlineStr">
        <is>
          <t>Brand Search</t>
        </is>
      </c>
      <c r="C75" s="5" t="inlineStr">
        <is>
          <t>Paid Search</t>
        </is>
      </c>
      <c r="D75" s="6" t="n">
        <v>40556</v>
      </c>
      <c r="E75" s="6" t="n">
        <v>2815</v>
      </c>
      <c r="F75" s="7" t="n">
        <v>42408</v>
      </c>
      <c r="G75" s="6" t="n">
        <v>293</v>
      </c>
      <c r="H75" s="6" t="n">
        <v>79</v>
      </c>
      <c r="I75" s="7" t="n">
        <v>276754</v>
      </c>
    </row>
    <row r="76">
      <c r="A76" s="4" t="n">
        <v>46237</v>
      </c>
      <c r="B76" s="5" t="inlineStr">
        <is>
          <t>Generic Kitchen Search</t>
        </is>
      </c>
      <c r="C76" s="5" t="inlineStr">
        <is>
          <t>Paid Search</t>
        </is>
      </c>
      <c r="D76" s="6" t="n">
        <v>70736</v>
      </c>
      <c r="E76" s="6" t="n">
        <v>2697</v>
      </c>
      <c r="F76" s="7" t="n">
        <v>78425</v>
      </c>
      <c r="G76" s="6" t="n">
        <v>226</v>
      </c>
      <c r="H76" s="6" t="n">
        <v>49</v>
      </c>
      <c r="I76" s="7" t="n">
        <v>201244</v>
      </c>
    </row>
    <row r="77">
      <c r="A77" s="4" t="n">
        <v>46237</v>
      </c>
      <c r="B77" s="5" t="inlineStr">
        <is>
          <t>Festive Gifting Search</t>
        </is>
      </c>
      <c r="C77" s="5" t="inlineStr">
        <is>
          <t>Paid Search</t>
        </is>
      </c>
      <c r="D77" s="6" t="n">
        <v>51811</v>
      </c>
      <c r="E77" s="6" t="n">
        <v>2364</v>
      </c>
      <c r="F77" s="7" t="n">
        <v>56751</v>
      </c>
      <c r="G77" s="6" t="n">
        <v>231</v>
      </c>
      <c r="H77" s="6" t="n">
        <v>56</v>
      </c>
      <c r="I77" s="7" t="n">
        <v>293757</v>
      </c>
    </row>
    <row r="78">
      <c r="A78" s="4" t="n">
        <v>46237</v>
      </c>
      <c r="B78" s="5" t="inlineStr">
        <is>
          <t>Instagram Reels Sale</t>
        </is>
      </c>
      <c r="C78" s="5" t="inlineStr">
        <is>
          <t>Paid Social</t>
        </is>
      </c>
      <c r="D78" s="6" t="n">
        <v>370521</v>
      </c>
      <c r="E78" s="6" t="n">
        <v>4781</v>
      </c>
      <c r="F78" s="7" t="n">
        <v>64082</v>
      </c>
      <c r="G78" s="6" t="n">
        <v>240</v>
      </c>
      <c r="H78" s="6" t="n">
        <v>28</v>
      </c>
      <c r="I78" s="7" t="n">
        <v>89302</v>
      </c>
    </row>
    <row r="79">
      <c r="A79" s="4" t="n">
        <v>46237</v>
      </c>
      <c r="B79" s="5" t="inlineStr">
        <is>
          <t>Cart Retargeting</t>
        </is>
      </c>
      <c r="C79" s="5" t="inlineStr">
        <is>
          <t>Paid Social</t>
        </is>
      </c>
      <c r="D79" s="6" t="n">
        <v>111253</v>
      </c>
      <c r="E79" s="6" t="n">
        <v>2303</v>
      </c>
      <c r="F79" s="7" t="n">
        <v>34054</v>
      </c>
      <c r="G79" s="6" t="n">
        <v>253</v>
      </c>
      <c r="H79" s="6" t="n">
        <v>34</v>
      </c>
      <c r="I79" s="7" t="n">
        <v>106973</v>
      </c>
    </row>
    <row r="80">
      <c r="A80" s="4" t="n">
        <v>46237</v>
      </c>
      <c r="B80" s="5" t="inlineStr">
        <is>
          <t>Welcome Series</t>
        </is>
      </c>
      <c r="C80" s="5" t="inlineStr">
        <is>
          <t>Email Marketing</t>
        </is>
      </c>
      <c r="D80" s="6" t="n">
        <v>20322</v>
      </c>
      <c r="E80" s="6" t="n">
        <v>688</v>
      </c>
      <c r="F80" s="7" t="n">
        <v>5548</v>
      </c>
      <c r="G80" s="6" t="n">
        <v>139</v>
      </c>
      <c r="H80" s="6" t="n">
        <v>24</v>
      </c>
      <c r="I80" s="7" t="n">
        <v>70361</v>
      </c>
    </row>
    <row r="81">
      <c r="A81" s="4" t="n">
        <v>46237</v>
      </c>
      <c r="B81" s="5" t="inlineStr">
        <is>
          <t>Win-back Offer</t>
        </is>
      </c>
      <c r="C81" s="5" t="inlineStr">
        <is>
          <t>Email Marketing</t>
        </is>
      </c>
      <c r="D81" s="6" t="n">
        <v>23540</v>
      </c>
      <c r="E81" s="6" t="n">
        <v>711</v>
      </c>
      <c r="F81" s="7" t="n">
        <v>6242</v>
      </c>
      <c r="G81" s="6" t="n">
        <v>96</v>
      </c>
      <c r="H81" s="6" t="n">
        <v>18</v>
      </c>
      <c r="I81" s="7" t="n">
        <v>54575</v>
      </c>
    </row>
    <row r="82">
      <c r="A82" s="4" t="n">
        <v>46237</v>
      </c>
      <c r="B82" s="5" t="inlineStr">
        <is>
          <t>Programmatic Banners</t>
        </is>
      </c>
      <c r="C82" s="5" t="inlineStr">
        <is>
          <t>Display Advertising</t>
        </is>
      </c>
      <c r="D82" s="6" t="n">
        <v>1544479</v>
      </c>
      <c r="E82" s="6" t="n">
        <v>6382</v>
      </c>
      <c r="F82" s="7" t="n">
        <v>70301</v>
      </c>
      <c r="G82" s="6" t="n">
        <v>187</v>
      </c>
      <c r="H82" s="6" t="n">
        <v>18</v>
      </c>
      <c r="I82" s="7" t="n">
        <v>57302</v>
      </c>
    </row>
    <row r="83">
      <c r="A83" s="4" t="n">
        <v>46237</v>
      </c>
      <c r="B83" s="5" t="inlineStr">
        <is>
          <t>Festive Display Takeover</t>
        </is>
      </c>
      <c r="C83" s="5" t="inlineStr">
        <is>
          <t>Display Advertising</t>
        </is>
      </c>
      <c r="D83" s="6" t="n">
        <v>1812802</v>
      </c>
      <c r="E83" s="6" t="n">
        <v>10643</v>
      </c>
      <c r="F83" s="7" t="n">
        <v>132536</v>
      </c>
      <c r="G83" s="6" t="n">
        <v>447</v>
      </c>
      <c r="H83" s="6" t="n">
        <v>65</v>
      </c>
      <c r="I83" s="7" t="n">
        <v>239147</v>
      </c>
    </row>
    <row r="84">
      <c r="A84" s="4" t="n">
        <v>46244</v>
      </c>
      <c r="B84" s="5" t="inlineStr">
        <is>
          <t>Brand Search</t>
        </is>
      </c>
      <c r="C84" s="5" t="inlineStr">
        <is>
          <t>Paid Search</t>
        </is>
      </c>
      <c r="D84" s="6" t="n">
        <v>40048</v>
      </c>
      <c r="E84" s="6" t="n">
        <v>2725</v>
      </c>
      <c r="F84" s="7" t="n">
        <v>44274</v>
      </c>
      <c r="G84" s="6" t="n">
        <v>333</v>
      </c>
      <c r="H84" s="6" t="n">
        <v>81</v>
      </c>
      <c r="I84" s="7" t="n">
        <v>246827</v>
      </c>
    </row>
    <row r="85">
      <c r="A85" s="4" t="n">
        <v>46244</v>
      </c>
      <c r="B85" s="5" t="inlineStr">
        <is>
          <t>Generic Kitchen Search</t>
        </is>
      </c>
      <c r="C85" s="5" t="inlineStr">
        <is>
          <t>Paid Search</t>
        </is>
      </c>
      <c r="D85" s="6" t="n">
        <v>105229</v>
      </c>
      <c r="E85" s="6" t="n">
        <v>2729</v>
      </c>
      <c r="F85" s="7" t="n">
        <v>75493</v>
      </c>
      <c r="G85" s="6" t="n">
        <v>260</v>
      </c>
      <c r="H85" s="6" t="n">
        <v>53</v>
      </c>
      <c r="I85" s="7" t="n">
        <v>196257</v>
      </c>
    </row>
    <row r="86">
      <c r="A86" s="4" t="n">
        <v>46244</v>
      </c>
      <c r="B86" s="5" t="inlineStr">
        <is>
          <t>Festive Gifting Search</t>
        </is>
      </c>
      <c r="C86" s="5" t="inlineStr">
        <is>
          <t>Paid Search</t>
        </is>
      </c>
      <c r="D86" s="6" t="n">
        <v>65194</v>
      </c>
      <c r="E86" s="6" t="n">
        <v>2956</v>
      </c>
      <c r="F86" s="7" t="n">
        <v>65035</v>
      </c>
      <c r="G86" s="6" t="n">
        <v>273</v>
      </c>
      <c r="H86" s="6" t="n">
        <v>48</v>
      </c>
      <c r="I86" s="7" t="n">
        <v>226201</v>
      </c>
    </row>
    <row r="87">
      <c r="A87" s="4" t="n">
        <v>46244</v>
      </c>
      <c r="B87" s="5" t="inlineStr">
        <is>
          <t>Instagram Reels Sale</t>
        </is>
      </c>
      <c r="C87" s="5" t="inlineStr">
        <is>
          <t>Paid Social</t>
        </is>
      </c>
      <c r="D87" s="6" t="n">
        <v>399873</v>
      </c>
      <c r="E87" s="6" t="n">
        <v>5359</v>
      </c>
      <c r="F87" s="7" t="n">
        <v>67845</v>
      </c>
      <c r="G87" s="6" t="n">
        <v>242</v>
      </c>
      <c r="H87" s="6" t="n">
        <v>22</v>
      </c>
      <c r="I87" s="7" t="n">
        <v>65899</v>
      </c>
    </row>
    <row r="88">
      <c r="A88" s="4" t="n">
        <v>46244</v>
      </c>
      <c r="B88" s="5" t="inlineStr">
        <is>
          <t>Cart Retargeting</t>
        </is>
      </c>
      <c r="C88" s="5" t="inlineStr">
        <is>
          <t>Paid Social</t>
        </is>
      </c>
      <c r="D88" s="6" t="n">
        <v>114845</v>
      </c>
      <c r="E88" s="6" t="n">
        <v>2708</v>
      </c>
      <c r="F88" s="7" t="n">
        <v>41421</v>
      </c>
      <c r="G88" s="6" t="n">
        <v>436</v>
      </c>
      <c r="H88" s="6" t="n">
        <v>57</v>
      </c>
      <c r="I88" s="7" t="n">
        <v>179045</v>
      </c>
    </row>
    <row r="89">
      <c r="A89" s="4" t="n">
        <v>46244</v>
      </c>
      <c r="B89" s="5" t="inlineStr">
        <is>
          <t>Welcome Series</t>
        </is>
      </c>
      <c r="C89" s="5" t="inlineStr">
        <is>
          <t>Email Marketing</t>
        </is>
      </c>
      <c r="D89" s="6" t="n">
        <v>19327</v>
      </c>
      <c r="E89" s="6" t="n">
        <v>716</v>
      </c>
      <c r="F89" s="7" t="n">
        <v>5210</v>
      </c>
      <c r="G89" s="6" t="n">
        <v>141</v>
      </c>
      <c r="H89" s="6" t="n">
        <v>22</v>
      </c>
      <c r="I89" s="7" t="n">
        <v>62053</v>
      </c>
    </row>
    <row r="90">
      <c r="A90" s="4" t="n">
        <v>46244</v>
      </c>
      <c r="B90" s="5" t="inlineStr">
        <is>
          <t>Win-back Offer</t>
        </is>
      </c>
      <c r="C90" s="5" t="inlineStr">
        <is>
          <t>Email Marketing</t>
        </is>
      </c>
      <c r="D90" s="6" t="n">
        <v>18030</v>
      </c>
      <c r="E90" s="6" t="n">
        <v>568</v>
      </c>
      <c r="F90" s="7" t="n">
        <v>4594</v>
      </c>
      <c r="G90" s="6" t="n">
        <v>63</v>
      </c>
      <c r="H90" s="6" t="n">
        <v>13</v>
      </c>
      <c r="I90" s="7" t="n">
        <v>38122</v>
      </c>
    </row>
    <row r="91">
      <c r="A91" s="4" t="n">
        <v>46244</v>
      </c>
      <c r="B91" s="5" t="inlineStr">
        <is>
          <t>Programmatic Banners</t>
        </is>
      </c>
      <c r="C91" s="5" t="inlineStr">
        <is>
          <t>Display Advertising</t>
        </is>
      </c>
      <c r="D91" s="6" t="n">
        <v>2506731</v>
      </c>
      <c r="E91" s="6" t="n">
        <v>9179</v>
      </c>
      <c r="F91" s="7" t="n">
        <v>87158</v>
      </c>
      <c r="G91" s="6" t="n">
        <v>258</v>
      </c>
      <c r="H91" s="6" t="n">
        <v>24</v>
      </c>
      <c r="I91" s="7" t="n">
        <v>82854</v>
      </c>
    </row>
    <row r="92">
      <c r="A92" s="4" t="n">
        <v>46244</v>
      </c>
      <c r="B92" s="5" t="inlineStr">
        <is>
          <t>Festive Display Takeover</t>
        </is>
      </c>
      <c r="C92" s="5" t="inlineStr">
        <is>
          <t>Display Advertising</t>
        </is>
      </c>
      <c r="D92" s="6" t="n">
        <v>1597868</v>
      </c>
      <c r="E92" s="6" t="n">
        <v>9236</v>
      </c>
      <c r="F92" s="7" t="n">
        <v>132011</v>
      </c>
      <c r="G92" s="6" t="n">
        <v>416</v>
      </c>
      <c r="H92" s="6" t="n">
        <v>47</v>
      </c>
      <c r="I92" s="7" t="n">
        <v>190459</v>
      </c>
    </row>
    <row r="93">
      <c r="A93" s="4" t="n">
        <v>46251</v>
      </c>
      <c r="B93" s="5" t="inlineStr">
        <is>
          <t>Brand Search</t>
        </is>
      </c>
      <c r="C93" s="5" t="inlineStr">
        <is>
          <t>Paid Search</t>
        </is>
      </c>
      <c r="D93" s="6" t="n">
        <v>46617</v>
      </c>
      <c r="E93" s="6" t="n">
        <v>3824</v>
      </c>
      <c r="F93" s="7" t="n">
        <v>59086</v>
      </c>
      <c r="G93" s="6" t="n">
        <v>480</v>
      </c>
      <c r="H93" s="6" t="n">
        <v>141</v>
      </c>
      <c r="I93" s="7" t="n">
        <v>431067</v>
      </c>
    </row>
    <row r="94">
      <c r="A94" s="4" t="n">
        <v>46251</v>
      </c>
      <c r="B94" s="5" t="inlineStr">
        <is>
          <t>Generic Kitchen Search</t>
        </is>
      </c>
      <c r="C94" s="5" t="inlineStr">
        <is>
          <t>Paid Search</t>
        </is>
      </c>
      <c r="D94" s="6" t="n">
        <v>74770</v>
      </c>
      <c r="E94" s="6" t="n">
        <v>2660</v>
      </c>
      <c r="F94" s="7" t="n">
        <v>75664</v>
      </c>
      <c r="G94" s="6" t="n">
        <v>206</v>
      </c>
      <c r="H94" s="6" t="n">
        <v>35</v>
      </c>
      <c r="I94" s="7" t="n">
        <v>136495</v>
      </c>
    </row>
    <row r="95">
      <c r="A95" s="4" t="n">
        <v>46251</v>
      </c>
      <c r="B95" s="5" t="inlineStr">
        <is>
          <t>Festive Gifting Search</t>
        </is>
      </c>
      <c r="C95" s="5" t="inlineStr">
        <is>
          <t>Paid Search</t>
        </is>
      </c>
      <c r="D95" s="6" t="n">
        <v>70800</v>
      </c>
      <c r="E95" s="6" t="n">
        <v>2696</v>
      </c>
      <c r="F95" s="7" t="n">
        <v>62080</v>
      </c>
      <c r="G95" s="6" t="n">
        <v>261</v>
      </c>
      <c r="H95" s="6" t="n">
        <v>59</v>
      </c>
      <c r="I95" s="7" t="n">
        <v>266093</v>
      </c>
    </row>
    <row r="96">
      <c r="A96" s="4" t="n">
        <v>46251</v>
      </c>
      <c r="B96" s="5" t="inlineStr">
        <is>
          <t>Instagram Reels Sale</t>
        </is>
      </c>
      <c r="C96" s="5" t="inlineStr">
        <is>
          <t>Paid Social</t>
        </is>
      </c>
      <c r="D96" s="6" t="n">
        <v>469197</v>
      </c>
      <c r="E96" s="6" t="n">
        <v>5367</v>
      </c>
      <c r="F96" s="7" t="n">
        <v>65519</v>
      </c>
      <c r="G96" s="6" t="n">
        <v>262</v>
      </c>
      <c r="H96" s="6" t="n">
        <v>34</v>
      </c>
      <c r="I96" s="7" t="n">
        <v>106469</v>
      </c>
    </row>
    <row r="97">
      <c r="A97" s="4" t="n">
        <v>46251</v>
      </c>
      <c r="B97" s="5" t="inlineStr">
        <is>
          <t>Cart Retargeting</t>
        </is>
      </c>
      <c r="C97" s="5" t="inlineStr">
        <is>
          <t>Paid Social</t>
        </is>
      </c>
      <c r="D97" s="6" t="n">
        <v>110887</v>
      </c>
      <c r="E97" s="6" t="n">
        <v>2454</v>
      </c>
      <c r="F97" s="7" t="n">
        <v>35376</v>
      </c>
      <c r="G97" s="6" t="n">
        <v>304</v>
      </c>
      <c r="H97" s="6" t="n">
        <v>49</v>
      </c>
      <c r="I97" s="7" t="n">
        <v>177780</v>
      </c>
    </row>
    <row r="98">
      <c r="A98" s="4" t="n">
        <v>46251</v>
      </c>
      <c r="B98" s="5" t="inlineStr">
        <is>
          <t>Welcome Series</t>
        </is>
      </c>
      <c r="C98" s="5" t="inlineStr">
        <is>
          <t>Email Marketing</t>
        </is>
      </c>
      <c r="D98" s="6" t="n">
        <v>22021</v>
      </c>
      <c r="E98" s="6" t="n">
        <v>772</v>
      </c>
      <c r="F98" s="7" t="n">
        <v>5224</v>
      </c>
      <c r="G98" s="6" t="n">
        <v>146</v>
      </c>
      <c r="H98" s="6" t="n">
        <v>23</v>
      </c>
      <c r="I98" s="7" t="n">
        <v>69079</v>
      </c>
    </row>
    <row r="99">
      <c r="A99" s="4" t="n">
        <v>46251</v>
      </c>
      <c r="B99" s="5" t="inlineStr">
        <is>
          <t>Win-back Offer</t>
        </is>
      </c>
      <c r="C99" s="5" t="inlineStr">
        <is>
          <t>Email Marketing</t>
        </is>
      </c>
      <c r="D99" s="6" t="n">
        <v>19847</v>
      </c>
      <c r="E99" s="6" t="n">
        <v>526</v>
      </c>
      <c r="F99" s="7" t="n">
        <v>4427</v>
      </c>
      <c r="G99" s="6" t="n">
        <v>59</v>
      </c>
      <c r="H99" s="6" t="n">
        <v>15</v>
      </c>
      <c r="I99" s="7" t="n">
        <v>48232</v>
      </c>
    </row>
    <row r="100">
      <c r="A100" s="4" t="n">
        <v>46251</v>
      </c>
      <c r="B100" s="5" t="inlineStr">
        <is>
          <t>Programmatic Banners</t>
        </is>
      </c>
      <c r="C100" s="5" t="inlineStr">
        <is>
          <t>Display Advertising</t>
        </is>
      </c>
      <c r="D100" s="6" t="n">
        <v>1699407</v>
      </c>
      <c r="E100" s="6" t="n">
        <v>7510</v>
      </c>
      <c r="F100" s="7" t="n">
        <v>83380</v>
      </c>
      <c r="G100" s="6" t="n">
        <v>258</v>
      </c>
      <c r="H100" s="6" t="n">
        <v>28</v>
      </c>
      <c r="I100" s="7" t="n">
        <v>103895</v>
      </c>
    </row>
    <row r="101">
      <c r="A101" s="4" t="n">
        <v>46251</v>
      </c>
      <c r="B101" s="5" t="inlineStr">
        <is>
          <t>Festive Display Takeover</t>
        </is>
      </c>
      <c r="C101" s="5" t="inlineStr">
        <is>
          <t>Display Advertising</t>
        </is>
      </c>
      <c r="D101" s="6" t="n">
        <v>1566405</v>
      </c>
      <c r="E101" s="6" t="n">
        <v>9231</v>
      </c>
      <c r="F101" s="7" t="n">
        <v>132184</v>
      </c>
      <c r="G101" s="6" t="n">
        <v>364</v>
      </c>
      <c r="H101" s="6" t="n">
        <v>50</v>
      </c>
      <c r="I101" s="7" t="n">
        <v>223143</v>
      </c>
    </row>
    <row r="102">
      <c r="A102" s="4" t="n">
        <v>46258</v>
      </c>
      <c r="B102" s="5" t="inlineStr">
        <is>
          <t>Brand Search</t>
        </is>
      </c>
      <c r="C102" s="5" t="inlineStr">
        <is>
          <t>Paid Search</t>
        </is>
      </c>
      <c r="D102" s="6" t="n">
        <v>40131</v>
      </c>
      <c r="E102" s="6" t="n">
        <v>3401</v>
      </c>
      <c r="F102" s="7" t="n">
        <v>53842</v>
      </c>
      <c r="G102" s="6" t="n">
        <v>380</v>
      </c>
      <c r="H102" s="6" t="n">
        <v>115</v>
      </c>
      <c r="I102" s="7" t="n">
        <v>380189</v>
      </c>
    </row>
    <row r="103">
      <c r="A103" s="4" t="n">
        <v>46258</v>
      </c>
      <c r="B103" s="5" t="inlineStr">
        <is>
          <t>Generic Kitchen Search</t>
        </is>
      </c>
      <c r="C103" s="5" t="inlineStr">
        <is>
          <t>Paid Search</t>
        </is>
      </c>
      <c r="D103" s="6" t="n">
        <v>70428</v>
      </c>
      <c r="E103" s="6" t="n">
        <v>2498</v>
      </c>
      <c r="F103" s="7" t="n">
        <v>70534</v>
      </c>
      <c r="G103" s="6" t="n">
        <v>234</v>
      </c>
      <c r="H103" s="6" t="n">
        <v>47</v>
      </c>
      <c r="I103" s="7" t="n">
        <v>180583</v>
      </c>
    </row>
    <row r="104">
      <c r="A104" s="4" t="n">
        <v>46258</v>
      </c>
      <c r="B104" s="5" t="inlineStr">
        <is>
          <t>Festive Gifting Search</t>
        </is>
      </c>
      <c r="C104" s="5" t="inlineStr">
        <is>
          <t>Paid Search</t>
        </is>
      </c>
      <c r="D104" s="6" t="n">
        <v>58842</v>
      </c>
      <c r="E104" s="6" t="n">
        <v>2577</v>
      </c>
      <c r="F104" s="7" t="n">
        <v>67766</v>
      </c>
      <c r="G104" s="6" t="n">
        <v>297</v>
      </c>
      <c r="H104" s="6" t="n">
        <v>64</v>
      </c>
      <c r="I104" s="7" t="n">
        <v>278162</v>
      </c>
    </row>
    <row r="105">
      <c r="A105" s="4" t="n">
        <v>46258</v>
      </c>
      <c r="B105" s="5" t="inlineStr">
        <is>
          <t>Instagram Reels Sale</t>
        </is>
      </c>
      <c r="C105" s="5" t="inlineStr">
        <is>
          <t>Paid Social</t>
        </is>
      </c>
      <c r="D105" s="6" t="n">
        <v>670044</v>
      </c>
      <c r="E105" s="6" t="n">
        <v>7047</v>
      </c>
      <c r="F105" s="7" t="n">
        <v>74254</v>
      </c>
      <c r="G105" s="6" t="n">
        <v>408</v>
      </c>
      <c r="H105" s="6" t="n">
        <v>53</v>
      </c>
      <c r="I105" s="7" t="n">
        <v>168081</v>
      </c>
    </row>
    <row r="106">
      <c r="A106" s="4" t="n">
        <v>46258</v>
      </c>
      <c r="B106" s="5" t="inlineStr">
        <is>
          <t>Cart Retargeting</t>
        </is>
      </c>
      <c r="C106" s="5" t="inlineStr">
        <is>
          <t>Paid Social</t>
        </is>
      </c>
      <c r="D106" s="6" t="n">
        <v>113389</v>
      </c>
      <c r="E106" s="6" t="n">
        <v>2367</v>
      </c>
      <c r="F106" s="7" t="n">
        <v>40240</v>
      </c>
      <c r="G106" s="6" t="n">
        <v>356</v>
      </c>
      <c r="H106" s="6" t="n">
        <v>57</v>
      </c>
      <c r="I106" s="7" t="n">
        <v>186557</v>
      </c>
    </row>
    <row r="107">
      <c r="A107" s="4" t="n">
        <v>46258</v>
      </c>
      <c r="B107" s="5" t="inlineStr">
        <is>
          <t>Welcome Series</t>
        </is>
      </c>
      <c r="C107" s="5" t="inlineStr">
        <is>
          <t>Email Marketing</t>
        </is>
      </c>
      <c r="D107" s="6" t="n">
        <v>23084</v>
      </c>
      <c r="E107" s="6" t="n">
        <v>901</v>
      </c>
      <c r="F107" s="7" t="n">
        <v>6166</v>
      </c>
      <c r="G107" s="6" t="n">
        <v>183</v>
      </c>
      <c r="H107" s="6" t="n">
        <v>29</v>
      </c>
      <c r="I107" s="7" t="n">
        <v>76974</v>
      </c>
    </row>
    <row r="108">
      <c r="A108" s="4" t="n">
        <v>46258</v>
      </c>
      <c r="B108" s="5" t="inlineStr">
        <is>
          <t>Win-back Offer</t>
        </is>
      </c>
      <c r="C108" s="5" t="inlineStr">
        <is>
          <t>Email Marketing</t>
        </is>
      </c>
      <c r="D108" s="6" t="n">
        <v>21799</v>
      </c>
      <c r="E108" s="6" t="n">
        <v>631</v>
      </c>
      <c r="F108" s="7" t="n">
        <v>4978</v>
      </c>
      <c r="G108" s="6" t="n">
        <v>71</v>
      </c>
      <c r="H108" s="6" t="n">
        <v>14</v>
      </c>
      <c r="I108" s="7" t="n">
        <v>48341</v>
      </c>
    </row>
    <row r="109">
      <c r="A109" s="4" t="n">
        <v>46258</v>
      </c>
      <c r="B109" s="5" t="inlineStr">
        <is>
          <t>Programmatic Banners</t>
        </is>
      </c>
      <c r="C109" s="5" t="inlineStr">
        <is>
          <t>Display Advertising</t>
        </is>
      </c>
      <c r="D109" s="6" t="n">
        <v>2511839</v>
      </c>
      <c r="E109" s="6" t="n">
        <v>8984</v>
      </c>
      <c r="F109" s="7" t="n">
        <v>101050</v>
      </c>
      <c r="G109" s="6" t="n">
        <v>298</v>
      </c>
      <c r="H109" s="6" t="n">
        <v>26</v>
      </c>
      <c r="I109" s="7" t="n">
        <v>100706</v>
      </c>
    </row>
    <row r="110">
      <c r="A110" s="4" t="n">
        <v>46258</v>
      </c>
      <c r="B110" s="5" t="inlineStr">
        <is>
          <t>Festive Display Takeover</t>
        </is>
      </c>
      <c r="C110" s="5" t="inlineStr">
        <is>
          <t>Display Advertising</t>
        </is>
      </c>
      <c r="D110" s="6" t="n">
        <v>1621509</v>
      </c>
      <c r="E110" s="6" t="n">
        <v>8233</v>
      </c>
      <c r="F110" s="7" t="n">
        <v>120041</v>
      </c>
      <c r="G110" s="6" t="n">
        <v>372</v>
      </c>
      <c r="H110" s="6" t="n">
        <v>70</v>
      </c>
      <c r="I110" s="7" t="n">
        <v>304465</v>
      </c>
    </row>
    <row r="111">
      <c r="A111" s="4" t="n">
        <v>46265</v>
      </c>
      <c r="B111" s="5" t="inlineStr">
        <is>
          <t>Brand Search</t>
        </is>
      </c>
      <c r="C111" s="5" t="inlineStr">
        <is>
          <t>Paid Search</t>
        </is>
      </c>
      <c r="D111" s="6" t="n">
        <v>46682</v>
      </c>
      <c r="E111" s="6" t="n">
        <v>3320</v>
      </c>
      <c r="F111" s="7" t="n">
        <v>49327</v>
      </c>
      <c r="G111" s="6" t="n">
        <v>391</v>
      </c>
      <c r="H111" s="6" t="n">
        <v>106</v>
      </c>
      <c r="I111" s="7" t="n">
        <v>355670</v>
      </c>
    </row>
    <row r="112">
      <c r="A112" s="4" t="n">
        <v>46265</v>
      </c>
      <c r="B112" s="5" t="inlineStr">
        <is>
          <t>Generic Kitchen Search</t>
        </is>
      </c>
      <c r="C112" s="5" t="inlineStr">
        <is>
          <t>Paid Search</t>
        </is>
      </c>
      <c r="D112" s="6" t="n">
        <v>72228</v>
      </c>
      <c r="E112" s="6" t="n">
        <v>2426</v>
      </c>
      <c r="F112" s="7" t="n">
        <v>71816</v>
      </c>
      <c r="G112" s="6" t="n">
        <v>236</v>
      </c>
      <c r="H112" s="6" t="n">
        <v>51</v>
      </c>
      <c r="I112" s="7" t="n">
        <v>195235</v>
      </c>
    </row>
    <row r="113">
      <c r="A113" s="4" t="n">
        <v>46265</v>
      </c>
      <c r="B113" s="5" t="inlineStr">
        <is>
          <t>Festive Gifting Search</t>
        </is>
      </c>
      <c r="C113" s="5" t="inlineStr">
        <is>
          <t>Paid Search</t>
        </is>
      </c>
      <c r="D113" s="6" t="n">
        <v>60102</v>
      </c>
      <c r="E113" s="6" t="n">
        <v>2491</v>
      </c>
      <c r="F113" s="7" t="n">
        <v>63331</v>
      </c>
      <c r="G113" s="6" t="n">
        <v>307</v>
      </c>
      <c r="H113" s="6" t="n">
        <v>81</v>
      </c>
      <c r="I113" s="7" t="n">
        <v>365413</v>
      </c>
    </row>
    <row r="114">
      <c r="A114" s="4" t="n">
        <v>46265</v>
      </c>
      <c r="B114" s="5" t="inlineStr">
        <is>
          <t>Instagram Reels Sale</t>
        </is>
      </c>
      <c r="C114" s="5" t="inlineStr">
        <is>
          <t>Paid Social</t>
        </is>
      </c>
      <c r="D114" s="6" t="n">
        <v>444258</v>
      </c>
      <c r="E114" s="6" t="n">
        <v>5417</v>
      </c>
      <c r="F114" s="7" t="n">
        <v>63175</v>
      </c>
      <c r="G114" s="6" t="n">
        <v>247</v>
      </c>
      <c r="H114" s="6" t="n">
        <v>25</v>
      </c>
      <c r="I114" s="7" t="n">
        <v>69390</v>
      </c>
    </row>
    <row r="115">
      <c r="A115" s="4" t="n">
        <v>46265</v>
      </c>
      <c r="B115" s="5" t="inlineStr">
        <is>
          <t>Cart Retargeting</t>
        </is>
      </c>
      <c r="C115" s="5" t="inlineStr">
        <is>
          <t>Paid Social</t>
        </is>
      </c>
      <c r="D115" s="6" t="n">
        <v>111108</v>
      </c>
      <c r="E115" s="6" t="n">
        <v>2437</v>
      </c>
      <c r="F115" s="7" t="n">
        <v>34997</v>
      </c>
      <c r="G115" s="6" t="n">
        <v>357</v>
      </c>
      <c r="H115" s="6" t="n">
        <v>60</v>
      </c>
      <c r="I115" s="7" t="n">
        <v>198704</v>
      </c>
    </row>
    <row r="116">
      <c r="A116" s="4" t="n">
        <v>46265</v>
      </c>
      <c r="B116" s="5" t="inlineStr">
        <is>
          <t>Welcome Series</t>
        </is>
      </c>
      <c r="C116" s="5" t="inlineStr">
        <is>
          <t>Email Marketing</t>
        </is>
      </c>
      <c r="D116" s="6" t="n">
        <v>21268</v>
      </c>
      <c r="E116" s="6" t="n">
        <v>790</v>
      </c>
      <c r="F116" s="7" t="n">
        <v>5871</v>
      </c>
      <c r="G116" s="6" t="n">
        <v>155</v>
      </c>
      <c r="H116" s="6" t="n">
        <v>23</v>
      </c>
      <c r="I116" s="7" t="n">
        <v>65303</v>
      </c>
    </row>
    <row r="117">
      <c r="A117" s="4" t="n">
        <v>46265</v>
      </c>
      <c r="B117" s="5" t="inlineStr">
        <is>
          <t>Win-back Offer</t>
        </is>
      </c>
      <c r="C117" s="5" t="inlineStr">
        <is>
          <t>Email Marketing</t>
        </is>
      </c>
      <c r="D117" s="6" t="n">
        <v>26269</v>
      </c>
      <c r="E117" s="6" t="n">
        <v>698</v>
      </c>
      <c r="F117" s="7" t="n">
        <v>4842</v>
      </c>
      <c r="G117" s="6" t="n">
        <v>90</v>
      </c>
      <c r="H117" s="6" t="n">
        <v>21</v>
      </c>
      <c r="I117" s="7" t="n">
        <v>68932</v>
      </c>
    </row>
    <row r="118">
      <c r="A118" s="4" t="n">
        <v>46265</v>
      </c>
      <c r="B118" s="5" t="inlineStr">
        <is>
          <t>Programmatic Banners</t>
        </is>
      </c>
      <c r="C118" s="5" t="inlineStr">
        <is>
          <t>Display Advertising</t>
        </is>
      </c>
      <c r="D118" s="6" t="n">
        <v>2585783</v>
      </c>
      <c r="E118" s="6" t="n">
        <v>9472</v>
      </c>
      <c r="F118" s="7" t="n">
        <v>101004</v>
      </c>
      <c r="G118" s="6" t="n">
        <v>265</v>
      </c>
      <c r="H118" s="6" t="n">
        <v>26</v>
      </c>
      <c r="I118" s="7" t="n">
        <v>96695</v>
      </c>
    </row>
    <row r="119">
      <c r="A119" s="4" t="n">
        <v>46265</v>
      </c>
      <c r="B119" s="5" t="inlineStr">
        <is>
          <t>Festive Display Takeover</t>
        </is>
      </c>
      <c r="C119" s="5" t="inlineStr">
        <is>
          <t>Display Advertising</t>
        </is>
      </c>
      <c r="D119" s="6" t="n">
        <v>1457733</v>
      </c>
      <c r="E119" s="6" t="n">
        <v>9250</v>
      </c>
      <c r="F119" s="7" t="n">
        <v>125410</v>
      </c>
      <c r="G119" s="6" t="n">
        <v>347</v>
      </c>
      <c r="H119" s="6" t="n">
        <v>44</v>
      </c>
      <c r="I119" s="7" t="n">
        <v>159214</v>
      </c>
    </row>
    <row r="120">
      <c r="A120" s="4" t="n">
        <v>46272</v>
      </c>
      <c r="B120" s="5" t="inlineStr">
        <is>
          <t>Brand Search</t>
        </is>
      </c>
      <c r="C120" s="5" t="inlineStr">
        <is>
          <t>Paid Search</t>
        </is>
      </c>
      <c r="D120" s="6" t="n">
        <v>54780</v>
      </c>
      <c r="E120" s="6" t="n">
        <v>3556</v>
      </c>
      <c r="F120" s="7" t="n">
        <v>50589</v>
      </c>
      <c r="G120" s="6" t="n">
        <v>375</v>
      </c>
      <c r="H120" s="6" t="n">
        <v>114</v>
      </c>
      <c r="I120" s="7" t="n">
        <v>420595</v>
      </c>
    </row>
    <row r="121">
      <c r="A121" s="4" t="n">
        <v>46272</v>
      </c>
      <c r="B121" s="5" t="inlineStr">
        <is>
          <t>Generic Kitchen Search</t>
        </is>
      </c>
      <c r="C121" s="5" t="inlineStr">
        <is>
          <t>Paid Search</t>
        </is>
      </c>
      <c r="D121" s="6" t="n">
        <v>62179</v>
      </c>
      <c r="E121" s="6" t="n">
        <v>2332</v>
      </c>
      <c r="F121" s="7" t="n">
        <v>66752</v>
      </c>
      <c r="G121" s="6" t="n">
        <v>188</v>
      </c>
      <c r="H121" s="6" t="n">
        <v>38</v>
      </c>
      <c r="I121" s="7" t="n">
        <v>145056</v>
      </c>
    </row>
    <row r="122">
      <c r="A122" s="4" t="n">
        <v>46272</v>
      </c>
      <c r="B122" s="5" t="inlineStr">
        <is>
          <t>Festive Gifting Search</t>
        </is>
      </c>
      <c r="C122" s="5" t="inlineStr">
        <is>
          <t>Paid Search</t>
        </is>
      </c>
      <c r="D122" s="6" t="n">
        <v>56961</v>
      </c>
      <c r="E122" s="6" t="n">
        <v>3096</v>
      </c>
      <c r="F122" s="7" t="n">
        <v>68268</v>
      </c>
      <c r="G122" s="6" t="n">
        <v>376</v>
      </c>
      <c r="H122" s="6" t="n">
        <v>84</v>
      </c>
      <c r="I122" s="7" t="n">
        <v>379523</v>
      </c>
    </row>
    <row r="123">
      <c r="A123" s="4" t="n">
        <v>46272</v>
      </c>
      <c r="B123" s="5" t="inlineStr">
        <is>
          <t>Instagram Reels Sale</t>
        </is>
      </c>
      <c r="C123" s="5" t="inlineStr">
        <is>
          <t>Paid Social</t>
        </is>
      </c>
      <c r="D123" s="6" t="n">
        <v>385186</v>
      </c>
      <c r="E123" s="6" t="n">
        <v>5275</v>
      </c>
      <c r="F123" s="7" t="n">
        <v>65762</v>
      </c>
      <c r="G123" s="6" t="n">
        <v>274</v>
      </c>
      <c r="H123" s="6" t="n">
        <v>35</v>
      </c>
      <c r="I123" s="7" t="n">
        <v>118171</v>
      </c>
    </row>
    <row r="124">
      <c r="A124" s="4" t="n">
        <v>46272</v>
      </c>
      <c r="B124" s="5" t="inlineStr">
        <is>
          <t>Cart Retargeting</t>
        </is>
      </c>
      <c r="C124" s="5" t="inlineStr">
        <is>
          <t>Paid Social</t>
        </is>
      </c>
      <c r="D124" s="6" t="n">
        <v>155652</v>
      </c>
      <c r="E124" s="6" t="n">
        <v>3249</v>
      </c>
      <c r="F124" s="7" t="n">
        <v>46076</v>
      </c>
      <c r="G124" s="6" t="n">
        <v>526</v>
      </c>
      <c r="H124" s="6" t="n">
        <v>67</v>
      </c>
      <c r="I124" s="7" t="n">
        <v>224914</v>
      </c>
    </row>
    <row r="125">
      <c r="A125" s="4" t="n">
        <v>46272</v>
      </c>
      <c r="B125" s="5" t="inlineStr">
        <is>
          <t>Welcome Series</t>
        </is>
      </c>
      <c r="C125" s="5" t="inlineStr">
        <is>
          <t>Email Marketing</t>
        </is>
      </c>
      <c r="D125" s="6" t="n">
        <v>23485</v>
      </c>
      <c r="E125" s="6" t="n">
        <v>789</v>
      </c>
      <c r="F125" s="7" t="n">
        <v>5461</v>
      </c>
      <c r="G125" s="6" t="n">
        <v>137</v>
      </c>
      <c r="H125" s="6" t="n">
        <v>21</v>
      </c>
      <c r="I125" s="7" t="n">
        <v>58211</v>
      </c>
    </row>
    <row r="126">
      <c r="A126" s="4" t="n">
        <v>46272</v>
      </c>
      <c r="B126" s="5" t="inlineStr">
        <is>
          <t>Win-back Offer</t>
        </is>
      </c>
      <c r="C126" s="5" t="inlineStr">
        <is>
          <t>Email Marketing</t>
        </is>
      </c>
      <c r="D126" s="6" t="n">
        <v>24729</v>
      </c>
      <c r="E126" s="6" t="n">
        <v>767</v>
      </c>
      <c r="F126" s="7" t="n">
        <v>5767</v>
      </c>
      <c r="G126" s="6" t="n">
        <v>94</v>
      </c>
      <c r="H126" s="6" t="n">
        <v>20</v>
      </c>
      <c r="I126" s="7" t="n">
        <v>52387</v>
      </c>
    </row>
    <row r="127">
      <c r="A127" s="4" t="n">
        <v>46272</v>
      </c>
      <c r="B127" s="5" t="inlineStr">
        <is>
          <t>Programmatic Banners</t>
        </is>
      </c>
      <c r="C127" s="5" t="inlineStr">
        <is>
          <t>Display Advertising</t>
        </is>
      </c>
      <c r="D127" s="6" t="n">
        <v>1910826</v>
      </c>
      <c r="E127" s="6" t="n">
        <v>6477</v>
      </c>
      <c r="F127" s="7" t="n">
        <v>75122</v>
      </c>
      <c r="G127" s="6" t="n">
        <v>219</v>
      </c>
      <c r="H127" s="6" t="n">
        <v>22</v>
      </c>
      <c r="I127" s="7" t="n">
        <v>75853</v>
      </c>
    </row>
    <row r="128">
      <c r="A128" s="4" t="n">
        <v>46272</v>
      </c>
      <c r="B128" s="5" t="inlineStr">
        <is>
          <t>Festive Display Takeover</t>
        </is>
      </c>
      <c r="C128" s="5" t="inlineStr">
        <is>
          <t>Display Advertising</t>
        </is>
      </c>
      <c r="D128" s="6" t="n">
        <v>1634737</v>
      </c>
      <c r="E128" s="6" t="n">
        <v>9625</v>
      </c>
      <c r="F128" s="7" t="n">
        <v>132424</v>
      </c>
      <c r="G128" s="6" t="n">
        <v>385</v>
      </c>
      <c r="H128" s="6" t="n">
        <v>50</v>
      </c>
      <c r="I128" s="7" t="n">
        <v>212772</v>
      </c>
    </row>
    <row r="129">
      <c r="A129" s="4" t="n">
        <v>46279</v>
      </c>
      <c r="B129" s="5" t="inlineStr">
        <is>
          <t>Brand Search</t>
        </is>
      </c>
      <c r="C129" s="5" t="inlineStr">
        <is>
          <t>Paid Search</t>
        </is>
      </c>
      <c r="D129" s="6" t="n">
        <v>41185</v>
      </c>
      <c r="E129" s="6" t="n">
        <v>2837</v>
      </c>
      <c r="F129" s="7" t="n">
        <v>46084</v>
      </c>
      <c r="G129" s="6" t="n">
        <v>307</v>
      </c>
      <c r="H129" s="6" t="n">
        <v>73</v>
      </c>
      <c r="I129" s="7" t="n">
        <v>233137</v>
      </c>
    </row>
    <row r="130">
      <c r="A130" s="4" t="n">
        <v>46279</v>
      </c>
      <c r="B130" s="5" t="inlineStr">
        <is>
          <t>Generic Kitchen Search</t>
        </is>
      </c>
      <c r="C130" s="5" t="inlineStr">
        <is>
          <t>Paid Search</t>
        </is>
      </c>
      <c r="D130" s="6" t="n">
        <v>78569</v>
      </c>
      <c r="E130" s="6" t="n">
        <v>2429</v>
      </c>
      <c r="F130" s="7" t="n">
        <v>65521</v>
      </c>
      <c r="G130" s="6" t="n">
        <v>196</v>
      </c>
      <c r="H130" s="6" t="n">
        <v>33</v>
      </c>
      <c r="I130" s="7" t="n">
        <v>120103</v>
      </c>
    </row>
    <row r="131">
      <c r="A131" s="4" t="n">
        <v>46279</v>
      </c>
      <c r="B131" s="5" t="inlineStr">
        <is>
          <t>Festive Gifting Search</t>
        </is>
      </c>
      <c r="C131" s="5" t="inlineStr">
        <is>
          <t>Paid Search</t>
        </is>
      </c>
      <c r="D131" s="6" t="n">
        <v>67150</v>
      </c>
      <c r="E131" s="6" t="n">
        <v>3091</v>
      </c>
      <c r="F131" s="7" t="n">
        <v>71346</v>
      </c>
      <c r="G131" s="6" t="n">
        <v>310</v>
      </c>
      <c r="H131" s="6" t="n">
        <v>72</v>
      </c>
      <c r="I131" s="7" t="n">
        <v>308978</v>
      </c>
    </row>
    <row r="132">
      <c r="A132" s="4" t="n">
        <v>46279</v>
      </c>
      <c r="B132" s="5" t="inlineStr">
        <is>
          <t>Instagram Reels Sale</t>
        </is>
      </c>
      <c r="C132" s="5" t="inlineStr">
        <is>
          <t>Paid Social</t>
        </is>
      </c>
      <c r="D132" s="6" t="n">
        <v>461871</v>
      </c>
      <c r="E132" s="6" t="n">
        <v>5309</v>
      </c>
      <c r="F132" s="7" t="n">
        <v>60143</v>
      </c>
      <c r="G132" s="6" t="n">
        <v>263</v>
      </c>
      <c r="H132" s="6" t="n">
        <v>40</v>
      </c>
      <c r="I132" s="7" t="n">
        <v>117105</v>
      </c>
    </row>
    <row r="133">
      <c r="A133" s="4" t="n">
        <v>46279</v>
      </c>
      <c r="B133" s="5" t="inlineStr">
        <is>
          <t>Cart Retargeting</t>
        </is>
      </c>
      <c r="C133" s="5" t="inlineStr">
        <is>
          <t>Paid Social</t>
        </is>
      </c>
      <c r="D133" s="6" t="n">
        <v>150168</v>
      </c>
      <c r="E133" s="6" t="n">
        <v>3360</v>
      </c>
      <c r="F133" s="7" t="n">
        <v>47141</v>
      </c>
      <c r="G133" s="6" t="n">
        <v>551</v>
      </c>
      <c r="H133" s="6" t="n">
        <v>66</v>
      </c>
      <c r="I133" s="7" t="n">
        <v>235791</v>
      </c>
    </row>
    <row r="134">
      <c r="A134" s="4" t="n">
        <v>46279</v>
      </c>
      <c r="B134" s="5" t="inlineStr">
        <is>
          <t>Welcome Series</t>
        </is>
      </c>
      <c r="C134" s="5" t="inlineStr">
        <is>
          <t>Email Marketing</t>
        </is>
      </c>
      <c r="D134" s="6" t="n">
        <v>22355</v>
      </c>
      <c r="E134" s="6" t="n">
        <v>777</v>
      </c>
      <c r="F134" s="7" t="n">
        <v>5183</v>
      </c>
      <c r="G134" s="6" t="n">
        <v>116</v>
      </c>
      <c r="H134" s="6" t="n">
        <v>18</v>
      </c>
      <c r="I134" s="7" t="n">
        <v>51350</v>
      </c>
    </row>
    <row r="135">
      <c r="A135" s="4" t="n">
        <v>46279</v>
      </c>
      <c r="B135" s="5" t="inlineStr">
        <is>
          <t>Win-back Offer</t>
        </is>
      </c>
      <c r="C135" s="5" t="inlineStr">
        <is>
          <t>Email Marketing</t>
        </is>
      </c>
      <c r="D135" s="6" t="n">
        <v>20663</v>
      </c>
      <c r="E135" s="6" t="n">
        <v>674</v>
      </c>
      <c r="F135" s="7" t="n">
        <v>5467</v>
      </c>
      <c r="G135" s="6" t="n">
        <v>82</v>
      </c>
      <c r="H135" s="6" t="n">
        <v>15</v>
      </c>
      <c r="I135" s="7" t="n">
        <v>45376</v>
      </c>
    </row>
    <row r="136">
      <c r="A136" s="4" t="n">
        <v>46279</v>
      </c>
      <c r="B136" s="5" t="inlineStr">
        <is>
          <t>Programmatic Banners</t>
        </is>
      </c>
      <c r="C136" s="5" t="inlineStr">
        <is>
          <t>Display Advertising</t>
        </is>
      </c>
      <c r="D136" s="6" t="n">
        <v>1754112</v>
      </c>
      <c r="E136" s="6" t="n">
        <v>7228</v>
      </c>
      <c r="F136" s="7" t="n">
        <v>84103</v>
      </c>
      <c r="G136" s="6" t="n">
        <v>257</v>
      </c>
      <c r="H136" s="6" t="n">
        <v>21</v>
      </c>
      <c r="I136" s="7" t="n">
        <v>67017</v>
      </c>
    </row>
    <row r="137">
      <c r="A137" s="4" t="n">
        <v>46279</v>
      </c>
      <c r="B137" s="5" t="inlineStr">
        <is>
          <t>Festive Display Takeover</t>
        </is>
      </c>
      <c r="C137" s="5" t="inlineStr">
        <is>
          <t>Display Advertising</t>
        </is>
      </c>
      <c r="D137" s="6" t="n">
        <v>1452673</v>
      </c>
      <c r="E137" s="6" t="n">
        <v>8522</v>
      </c>
      <c r="F137" s="7" t="n">
        <v>118488</v>
      </c>
      <c r="G137" s="6" t="n">
        <v>287</v>
      </c>
      <c r="H137" s="6" t="n">
        <v>35</v>
      </c>
      <c r="I137" s="7" t="n">
        <v>141028</v>
      </c>
    </row>
    <row r="138">
      <c r="A138" s="4" t="n">
        <v>46286</v>
      </c>
      <c r="B138" s="5" t="inlineStr">
        <is>
          <t>Brand Search</t>
        </is>
      </c>
      <c r="C138" s="5" t="inlineStr">
        <is>
          <t>Paid Search</t>
        </is>
      </c>
      <c r="D138" s="6" t="n">
        <v>40231</v>
      </c>
      <c r="E138" s="6" t="n">
        <v>3374</v>
      </c>
      <c r="F138" s="7" t="n">
        <v>52835</v>
      </c>
      <c r="G138" s="6" t="n">
        <v>413</v>
      </c>
      <c r="H138" s="6" t="n">
        <v>123</v>
      </c>
      <c r="I138" s="7" t="n">
        <v>408113</v>
      </c>
    </row>
    <row r="139">
      <c r="A139" s="4" t="n">
        <v>46286</v>
      </c>
      <c r="B139" s="5" t="inlineStr">
        <is>
          <t>Generic Kitchen Search</t>
        </is>
      </c>
      <c r="C139" s="5" t="inlineStr">
        <is>
          <t>Paid Search</t>
        </is>
      </c>
      <c r="D139" s="6" t="n">
        <v>67726</v>
      </c>
      <c r="E139" s="6" t="n">
        <v>2442</v>
      </c>
      <c r="F139" s="7" t="n">
        <v>66188</v>
      </c>
      <c r="G139" s="6" t="n">
        <v>216</v>
      </c>
      <c r="H139" s="6" t="n">
        <v>40</v>
      </c>
      <c r="I139" s="7" t="n">
        <v>144510</v>
      </c>
    </row>
    <row r="140">
      <c r="A140" s="4" t="n">
        <v>46286</v>
      </c>
      <c r="B140" s="5" t="inlineStr">
        <is>
          <t>Festive Gifting Search</t>
        </is>
      </c>
      <c r="C140" s="5" t="inlineStr">
        <is>
          <t>Paid Search</t>
        </is>
      </c>
      <c r="D140" s="6" t="n">
        <v>69729</v>
      </c>
      <c r="E140" s="6" t="n">
        <v>3206</v>
      </c>
      <c r="F140" s="7" t="n">
        <v>76394</v>
      </c>
      <c r="G140" s="6" t="n">
        <v>474</v>
      </c>
      <c r="H140" s="6" t="n">
        <v>115</v>
      </c>
      <c r="I140" s="7" t="n">
        <v>527293</v>
      </c>
    </row>
    <row r="141">
      <c r="A141" s="4" t="n">
        <v>46286</v>
      </c>
      <c r="B141" s="5" t="inlineStr">
        <is>
          <t>Instagram Reels Sale</t>
        </is>
      </c>
      <c r="C141" s="5" t="inlineStr">
        <is>
          <t>Paid Social</t>
        </is>
      </c>
      <c r="D141" s="6" t="n">
        <v>508847</v>
      </c>
      <c r="E141" s="6" t="n">
        <v>6351</v>
      </c>
      <c r="F141" s="7" t="n">
        <v>74077</v>
      </c>
      <c r="G141" s="6" t="n">
        <v>340</v>
      </c>
      <c r="H141" s="6" t="n">
        <v>43</v>
      </c>
      <c r="I141" s="7" t="n">
        <v>135963</v>
      </c>
    </row>
    <row r="142">
      <c r="A142" s="4" t="n">
        <v>46286</v>
      </c>
      <c r="B142" s="5" t="inlineStr">
        <is>
          <t>Cart Retargeting</t>
        </is>
      </c>
      <c r="C142" s="5" t="inlineStr">
        <is>
          <t>Paid Social</t>
        </is>
      </c>
      <c r="D142" s="6" t="n">
        <v>128089</v>
      </c>
      <c r="E142" s="6" t="n">
        <v>2478</v>
      </c>
      <c r="F142" s="7" t="n">
        <v>35240</v>
      </c>
      <c r="G142" s="6" t="n">
        <v>373</v>
      </c>
      <c r="H142" s="6" t="n">
        <v>55</v>
      </c>
      <c r="I142" s="7" t="n">
        <v>190204</v>
      </c>
    </row>
    <row r="143">
      <c r="A143" s="4" t="n">
        <v>46286</v>
      </c>
      <c r="B143" s="5" t="inlineStr">
        <is>
          <t>Welcome Series</t>
        </is>
      </c>
      <c r="C143" s="5" t="inlineStr">
        <is>
          <t>Email Marketing</t>
        </is>
      </c>
      <c r="D143" s="6" t="n">
        <v>30351</v>
      </c>
      <c r="E143" s="6" t="n">
        <v>948</v>
      </c>
      <c r="F143" s="7" t="n">
        <v>6402</v>
      </c>
      <c r="G143" s="6" t="n">
        <v>202</v>
      </c>
      <c r="H143" s="6" t="n">
        <v>26</v>
      </c>
      <c r="I143" s="7" t="n">
        <v>75610</v>
      </c>
    </row>
    <row r="144">
      <c r="A144" s="4" t="n">
        <v>46286</v>
      </c>
      <c r="B144" s="5" t="inlineStr">
        <is>
          <t>Win-back Offer</t>
        </is>
      </c>
      <c r="C144" s="5" t="inlineStr">
        <is>
          <t>Email Marketing</t>
        </is>
      </c>
      <c r="D144" s="6" t="n">
        <v>24009</v>
      </c>
      <c r="E144" s="6" t="n">
        <v>639</v>
      </c>
      <c r="F144" s="7" t="n">
        <v>5207</v>
      </c>
      <c r="G144" s="6" t="n">
        <v>69</v>
      </c>
      <c r="H144" s="6" t="n">
        <v>17</v>
      </c>
      <c r="I144" s="7" t="n">
        <v>53499</v>
      </c>
    </row>
    <row r="145">
      <c r="A145" s="4" t="n">
        <v>46286</v>
      </c>
      <c r="B145" s="5" t="inlineStr">
        <is>
          <t>Programmatic Banners</t>
        </is>
      </c>
      <c r="C145" s="5" t="inlineStr">
        <is>
          <t>Display Advertising</t>
        </is>
      </c>
      <c r="D145" s="6" t="n">
        <v>1851014</v>
      </c>
      <c r="E145" s="6" t="n">
        <v>6469</v>
      </c>
      <c r="F145" s="7" t="n">
        <v>74295</v>
      </c>
      <c r="G145" s="6" t="n">
        <v>247</v>
      </c>
      <c r="H145" s="6" t="n">
        <v>25</v>
      </c>
      <c r="I145" s="7" t="n">
        <v>92590</v>
      </c>
    </row>
    <row r="146">
      <c r="A146" s="4" t="n">
        <v>46286</v>
      </c>
      <c r="B146" s="5" t="inlineStr">
        <is>
          <t>Festive Display Takeover</t>
        </is>
      </c>
      <c r="C146" s="5" t="inlineStr">
        <is>
          <t>Display Advertising</t>
        </is>
      </c>
      <c r="D146" s="6" t="n">
        <v>1542165</v>
      </c>
      <c r="E146" s="6" t="n">
        <v>8958</v>
      </c>
      <c r="F146" s="7" t="n">
        <v>127381</v>
      </c>
      <c r="G146" s="6" t="n">
        <v>356</v>
      </c>
      <c r="H146" s="6" t="n">
        <v>47</v>
      </c>
      <c r="I146" s="7" t="n">
        <v>164667</v>
      </c>
    </row>
    <row r="147">
      <c r="A147" s="4" t="n">
        <v>46293</v>
      </c>
      <c r="B147" s="5" t="inlineStr">
        <is>
          <t>Brand Search</t>
        </is>
      </c>
      <c r="C147" s="5" t="inlineStr">
        <is>
          <t>Paid Search</t>
        </is>
      </c>
      <c r="D147" s="6" t="n">
        <v>42011</v>
      </c>
      <c r="E147" s="6" t="n">
        <v>2955</v>
      </c>
      <c r="F147" s="7" t="n">
        <v>50649</v>
      </c>
      <c r="G147" s="6" t="n">
        <v>282</v>
      </c>
      <c r="H147" s="6" t="n">
        <v>86</v>
      </c>
      <c r="I147" s="7" t="n">
        <v>263665</v>
      </c>
    </row>
    <row r="148">
      <c r="A148" s="4" t="n">
        <v>46293</v>
      </c>
      <c r="B148" s="5" t="inlineStr">
        <is>
          <t>Generic Kitchen Search</t>
        </is>
      </c>
      <c r="C148" s="5" t="inlineStr">
        <is>
          <t>Paid Search</t>
        </is>
      </c>
      <c r="D148" s="6" t="n">
        <v>65658</v>
      </c>
      <c r="E148" s="6" t="n">
        <v>2259</v>
      </c>
      <c r="F148" s="7" t="n">
        <v>62511</v>
      </c>
      <c r="G148" s="6" t="n">
        <v>239</v>
      </c>
      <c r="H148" s="6" t="n">
        <v>57</v>
      </c>
      <c r="I148" s="7" t="n">
        <v>240208</v>
      </c>
    </row>
    <row r="149">
      <c r="A149" s="4" t="n">
        <v>46293</v>
      </c>
      <c r="B149" s="5" t="inlineStr">
        <is>
          <t>Festive Gifting Search</t>
        </is>
      </c>
      <c r="C149" s="5" t="inlineStr">
        <is>
          <t>Paid Search</t>
        </is>
      </c>
      <c r="D149" s="6" t="n">
        <v>64897</v>
      </c>
      <c r="E149" s="6" t="n">
        <v>3185</v>
      </c>
      <c r="F149" s="7" t="n">
        <v>71818</v>
      </c>
      <c r="G149" s="6" t="n">
        <v>411</v>
      </c>
      <c r="H149" s="6" t="n">
        <v>91</v>
      </c>
      <c r="I149" s="7" t="n">
        <v>460498</v>
      </c>
    </row>
    <row r="150">
      <c r="A150" s="4" t="n">
        <v>46293</v>
      </c>
      <c r="B150" s="5" t="inlineStr">
        <is>
          <t>Instagram Reels Sale</t>
        </is>
      </c>
      <c r="C150" s="5" t="inlineStr">
        <is>
          <t>Paid Social</t>
        </is>
      </c>
      <c r="D150" s="6" t="n">
        <v>356942</v>
      </c>
      <c r="E150" s="6" t="n">
        <v>4633</v>
      </c>
      <c r="F150" s="7" t="n">
        <v>60672</v>
      </c>
      <c r="G150" s="6" t="n">
        <v>216</v>
      </c>
      <c r="H150" s="6" t="n">
        <v>28</v>
      </c>
      <c r="I150" s="7" t="n">
        <v>77921</v>
      </c>
    </row>
    <row r="151">
      <c r="A151" s="4" t="n">
        <v>46293</v>
      </c>
      <c r="B151" s="5" t="inlineStr">
        <is>
          <t>Cart Retargeting</t>
        </is>
      </c>
      <c r="C151" s="5" t="inlineStr">
        <is>
          <t>Paid Social</t>
        </is>
      </c>
      <c r="D151" s="6" t="n">
        <v>158069</v>
      </c>
      <c r="E151" s="6" t="n">
        <v>2916</v>
      </c>
      <c r="F151" s="7" t="n">
        <v>37642</v>
      </c>
      <c r="G151" s="6" t="n">
        <v>479</v>
      </c>
      <c r="H151" s="6" t="n">
        <v>88</v>
      </c>
      <c r="I151" s="7" t="n">
        <v>304111</v>
      </c>
    </row>
    <row r="152">
      <c r="A152" s="4" t="n">
        <v>46293</v>
      </c>
      <c r="B152" s="5" t="inlineStr">
        <is>
          <t>Welcome Series</t>
        </is>
      </c>
      <c r="C152" s="5" t="inlineStr">
        <is>
          <t>Email Marketing</t>
        </is>
      </c>
      <c r="D152" s="6" t="n">
        <v>23748</v>
      </c>
      <c r="E152" s="6" t="n">
        <v>851</v>
      </c>
      <c r="F152" s="7" t="n">
        <v>5608</v>
      </c>
      <c r="G152" s="6" t="n">
        <v>190</v>
      </c>
      <c r="H152" s="6" t="n">
        <v>28</v>
      </c>
      <c r="I152" s="7" t="n">
        <v>77063</v>
      </c>
    </row>
    <row r="153">
      <c r="A153" s="4" t="n">
        <v>46293</v>
      </c>
      <c r="B153" s="5" t="inlineStr">
        <is>
          <t>Win-back Offer</t>
        </is>
      </c>
      <c r="C153" s="5" t="inlineStr">
        <is>
          <t>Email Marketing</t>
        </is>
      </c>
      <c r="D153" s="6" t="n">
        <v>20470</v>
      </c>
      <c r="E153" s="6" t="n">
        <v>641</v>
      </c>
      <c r="F153" s="7" t="n">
        <v>4966</v>
      </c>
      <c r="G153" s="6" t="n">
        <v>86</v>
      </c>
      <c r="H153" s="6" t="n">
        <v>15</v>
      </c>
      <c r="I153" s="7" t="n">
        <v>47743</v>
      </c>
    </row>
    <row r="154">
      <c r="A154" s="4" t="n">
        <v>46293</v>
      </c>
      <c r="B154" s="5" t="inlineStr">
        <is>
          <t>Programmatic Banners</t>
        </is>
      </c>
      <c r="C154" s="5" t="inlineStr">
        <is>
          <t>Display Advertising</t>
        </is>
      </c>
      <c r="D154" s="6" t="n">
        <v>1648818</v>
      </c>
      <c r="E154" s="6" t="n">
        <v>6933</v>
      </c>
      <c r="F154" s="7" t="n">
        <v>77171</v>
      </c>
      <c r="G154" s="6" t="n">
        <v>194</v>
      </c>
      <c r="H154" s="6" t="n">
        <v>19</v>
      </c>
      <c r="I154" s="7" t="n">
        <v>72041</v>
      </c>
    </row>
    <row r="155">
      <c r="A155" s="4" t="n">
        <v>46293</v>
      </c>
      <c r="B155" s="5" t="inlineStr">
        <is>
          <t>Festive Display Takeover</t>
        </is>
      </c>
      <c r="C155" s="5" t="inlineStr">
        <is>
          <t>Display Advertising</t>
        </is>
      </c>
      <c r="D155" s="6" t="n">
        <v>1722554</v>
      </c>
      <c r="E155" s="6" t="n">
        <v>10204</v>
      </c>
      <c r="F155" s="7" t="n">
        <v>135814</v>
      </c>
      <c r="G155" s="6" t="n">
        <v>378</v>
      </c>
      <c r="H155" s="6" t="n">
        <v>57</v>
      </c>
      <c r="I155" s="7" t="n">
        <v>238632</v>
      </c>
    </row>
    <row r="156">
      <c r="A156" s="4" t="n">
        <v>46300</v>
      </c>
      <c r="B156" s="5" t="inlineStr">
        <is>
          <t>Brand Search</t>
        </is>
      </c>
      <c r="C156" s="5" t="inlineStr">
        <is>
          <t>Paid Search</t>
        </is>
      </c>
      <c r="D156" s="6" t="n">
        <v>39772</v>
      </c>
      <c r="E156" s="6" t="n">
        <v>2731</v>
      </c>
      <c r="F156" s="7" t="n">
        <v>48289</v>
      </c>
      <c r="G156" s="6" t="n">
        <v>354</v>
      </c>
      <c r="H156" s="6" t="n">
        <v>119</v>
      </c>
      <c r="I156" s="7" t="n">
        <v>393282</v>
      </c>
    </row>
    <row r="157">
      <c r="A157" s="4" t="n">
        <v>46300</v>
      </c>
      <c r="B157" s="5" t="inlineStr">
        <is>
          <t>Generic Kitchen Search</t>
        </is>
      </c>
      <c r="C157" s="5" t="inlineStr">
        <is>
          <t>Paid Search</t>
        </is>
      </c>
      <c r="D157" s="6" t="n">
        <v>89642</v>
      </c>
      <c r="E157" s="6" t="n">
        <v>3311</v>
      </c>
      <c r="F157" s="7" t="n">
        <v>86178</v>
      </c>
      <c r="G157" s="6" t="n">
        <v>322</v>
      </c>
      <c r="H157" s="6" t="n">
        <v>68</v>
      </c>
      <c r="I157" s="7" t="n">
        <v>299878</v>
      </c>
    </row>
    <row r="158">
      <c r="A158" s="4" t="n">
        <v>46300</v>
      </c>
      <c r="B158" s="5" t="inlineStr">
        <is>
          <t>Festive Gifting Search</t>
        </is>
      </c>
      <c r="C158" s="5" t="inlineStr">
        <is>
          <t>Paid Search</t>
        </is>
      </c>
      <c r="D158" s="6" t="n">
        <v>78485</v>
      </c>
      <c r="E158" s="6" t="n">
        <v>3352</v>
      </c>
      <c r="F158" s="7" t="n">
        <v>72333</v>
      </c>
      <c r="G158" s="6" t="n">
        <v>332</v>
      </c>
      <c r="H158" s="6" t="n">
        <v>71</v>
      </c>
      <c r="I158" s="7" t="n">
        <v>333835</v>
      </c>
    </row>
    <row r="159">
      <c r="A159" s="4" t="n">
        <v>46300</v>
      </c>
      <c r="B159" s="5" t="inlineStr">
        <is>
          <t>Instagram Reels Sale</t>
        </is>
      </c>
      <c r="C159" s="5" t="inlineStr">
        <is>
          <t>Paid Social</t>
        </is>
      </c>
      <c r="D159" s="6" t="n">
        <v>461532</v>
      </c>
      <c r="E159" s="6" t="n">
        <v>5866</v>
      </c>
      <c r="F159" s="7" t="n">
        <v>65620</v>
      </c>
      <c r="G159" s="6" t="n">
        <v>395</v>
      </c>
      <c r="H159" s="6" t="n">
        <v>57</v>
      </c>
      <c r="I159" s="7" t="n">
        <v>179975</v>
      </c>
    </row>
    <row r="160">
      <c r="A160" s="4" t="n">
        <v>46300</v>
      </c>
      <c r="B160" s="5" t="inlineStr">
        <is>
          <t>Cart Retargeting</t>
        </is>
      </c>
      <c r="C160" s="5" t="inlineStr">
        <is>
          <t>Paid Social</t>
        </is>
      </c>
      <c r="D160" s="6" t="n">
        <v>161240</v>
      </c>
      <c r="E160" s="6" t="n">
        <v>2891</v>
      </c>
      <c r="F160" s="7" t="n">
        <v>42910</v>
      </c>
      <c r="G160" s="6" t="n">
        <v>360</v>
      </c>
      <c r="H160" s="6" t="n">
        <v>54</v>
      </c>
      <c r="I160" s="7" t="n">
        <v>160822</v>
      </c>
    </row>
    <row r="161">
      <c r="A161" s="4" t="n">
        <v>46300</v>
      </c>
      <c r="B161" s="5" t="inlineStr">
        <is>
          <t>Welcome Series</t>
        </is>
      </c>
      <c r="C161" s="5" t="inlineStr">
        <is>
          <t>Email Marketing</t>
        </is>
      </c>
      <c r="D161" s="6" t="n">
        <v>19571</v>
      </c>
      <c r="E161" s="6" t="n">
        <v>689</v>
      </c>
      <c r="F161" s="7" t="n">
        <v>5068</v>
      </c>
      <c r="G161" s="6" t="n">
        <v>134</v>
      </c>
      <c r="H161" s="6" t="n">
        <v>24</v>
      </c>
      <c r="I161" s="7" t="n">
        <v>60217</v>
      </c>
    </row>
    <row r="162">
      <c r="A162" s="4" t="n">
        <v>46300</v>
      </c>
      <c r="B162" s="5" t="inlineStr">
        <is>
          <t>Win-back Offer</t>
        </is>
      </c>
      <c r="C162" s="5" t="inlineStr">
        <is>
          <t>Email Marketing</t>
        </is>
      </c>
      <c r="D162" s="6" t="n">
        <v>17580</v>
      </c>
      <c r="E162" s="6" t="n">
        <v>510</v>
      </c>
      <c r="F162" s="7" t="n">
        <v>4560</v>
      </c>
      <c r="G162" s="6" t="n">
        <v>60</v>
      </c>
      <c r="H162" s="6" t="n">
        <v>12</v>
      </c>
      <c r="I162" s="7" t="n">
        <v>39891</v>
      </c>
    </row>
    <row r="163">
      <c r="A163" s="4" t="n">
        <v>46300</v>
      </c>
      <c r="B163" s="5" t="inlineStr">
        <is>
          <t>Programmatic Banners</t>
        </is>
      </c>
      <c r="C163" s="5" t="inlineStr">
        <is>
          <t>Display Advertising</t>
        </is>
      </c>
      <c r="D163" s="6" t="n">
        <v>1808767</v>
      </c>
      <c r="E163" s="6" t="n">
        <v>8471</v>
      </c>
      <c r="F163" s="7" t="n">
        <v>96476</v>
      </c>
      <c r="G163" s="6" t="n">
        <v>209</v>
      </c>
      <c r="H163" s="6" t="n">
        <v>22</v>
      </c>
      <c r="I163" s="7" t="n">
        <v>72830</v>
      </c>
    </row>
    <row r="164">
      <c r="A164" s="4" t="n">
        <v>46300</v>
      </c>
      <c r="B164" s="5" t="inlineStr">
        <is>
          <t>Festive Display Takeover</t>
        </is>
      </c>
      <c r="C164" s="5" t="inlineStr">
        <is>
          <t>Display Advertising</t>
        </is>
      </c>
      <c r="D164" s="6" t="n">
        <v>1789475</v>
      </c>
      <c r="E164" s="6" t="n">
        <v>10261</v>
      </c>
      <c r="F164" s="7" t="n">
        <v>150544</v>
      </c>
      <c r="G164" s="6" t="n">
        <v>445</v>
      </c>
      <c r="H164" s="6" t="n">
        <v>64</v>
      </c>
      <c r="I164" s="7" t="n">
        <v>249613</v>
      </c>
    </row>
  </sheetData>
  <dataValidations count="2">
    <dataValidation sqref="C5:C404" showDropDown="0" showInputMessage="0" showErrorMessage="1" allowBlank="1" errorTitle="Unknown channel" error="Pick a channel from the list (add new channels to Analysis table 3 first)." type="list">
      <formula1>=Analysis!$B$17:$B$20</formula1>
    </dataValidation>
    <dataValidation sqref="B5:B404" showDropDown="0" showInputMessage="0" showErrorMessage="1" allowBlank="1" errorTitle="Unknown campaign" error="Pick a campaign from the list (add new campaigns to Analysis table 4 first)." type="list">
      <formula1>=Analysis!$B$25:$B$33</formula1>
    </dataValidation>
  </dataValidations>
  <pageMargins left="0.75" right="0.75" top="1" bottom="1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B1:N45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</cols>
  <sheetData>
    <row r="1">
      <c r="B1" s="1" t="inlineStr">
        <is>
          <t>Analysis</t>
        </is>
      </c>
    </row>
    <row r="2">
      <c r="B2" s="2" t="inlineStr">
        <is>
          <t>Calculation layer for the Executive Dashboard. Rows labelled 'Current selection' and the channel / campaign tables respond to the two dashboard dropdowns. Data is simulated.</t>
        </is>
      </c>
    </row>
    <row r="4">
      <c r="B4" s="8" t="inlineStr">
        <is>
          <t>1. Filter selection (read from the Executive Dashboard)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6" customHeight="1">
      <c r="B5" s="10" t="inlineStr">
        <is>
          <t>Filter</t>
        </is>
      </c>
      <c r="C5" s="11" t="inlineStr">
        <is>
          <t>Selected</t>
        </is>
      </c>
      <c r="D5" s="11" t="inlineStr">
        <is>
          <t>SUMIFS criterion</t>
        </is>
      </c>
      <c r="F5" s="10" t="inlineStr">
        <is>
          <t>Data period</t>
        </is>
      </c>
      <c r="G5" s="11" t="inlineStr"/>
      <c r="H5" s="11" t="inlineStr"/>
    </row>
    <row r="6">
      <c r="B6" s="12" t="inlineStr">
        <is>
          <t>Marketing Channel</t>
        </is>
      </c>
      <c r="C6" s="13" t="str">
        <f>'Executive Dashboard'!D5</f>
        <v>All</v>
      </c>
      <c r="D6" s="14" t="str">
        <f>IF(C6="All","*",C6)</f>
        <v>*</v>
      </c>
      <c r="F6" s="12" t="inlineStr">
        <is>
          <t>First week starts</t>
        </is>
      </c>
      <c r="H6" s="4">
        <f>MIN(tblCampaignData[Date])</f>
        <v>46167</v>
      </c>
    </row>
    <row r="7">
      <c r="B7" s="12" t="inlineStr">
        <is>
          <t>Campaign Name</t>
        </is>
      </c>
      <c r="C7" s="13" t="str">
        <f>'Executive Dashboard'!I5</f>
        <v>All</v>
      </c>
      <c r="D7" s="14" t="str">
        <f>IF(C7="All","*",C7)</f>
        <v>*</v>
      </c>
      <c r="F7" s="12" t="inlineStr">
        <is>
          <t>Last week ends</t>
        </is>
      </c>
      <c r="H7" s="4">
        <f>MAX(tblCampaignData[Date])+6</f>
        <v>46306</v>
      </c>
    </row>
    <row r="9">
      <c r="B9" s="8" t="inlineStr">
        <is>
          <t>2. Key metrics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 ht="26" customHeight="1">
      <c r="B10" s="10" t="inlineStr">
        <is>
          <t>Scope</t>
        </is>
      </c>
      <c r="C10" s="15" t="n"/>
      <c r="D10" s="11" t="inlineStr">
        <is>
          <t>Impressions</t>
        </is>
      </c>
      <c r="E10" s="11" t="inlineStr">
        <is>
          <t>Clicks</t>
        </is>
      </c>
      <c r="F10" s="11" t="inlineStr">
        <is>
          <t>Marketing Spend</t>
        </is>
      </c>
      <c r="G10" s="11" t="inlineStr">
        <is>
          <t>Leads</t>
        </is>
      </c>
      <c r="H10" s="11" t="inlineStr">
        <is>
          <t>Conversions</t>
        </is>
      </c>
      <c r="I10" s="11" t="inlineStr">
        <is>
          <t>Attributed Revenue</t>
        </is>
      </c>
      <c r="J10" s="11" t="inlineStr">
        <is>
          <t>CTR</t>
        </is>
      </c>
      <c r="K10" s="11" t="inlineStr">
        <is>
          <t>CPL</t>
        </is>
      </c>
      <c r="L10" s="11" t="inlineStr">
        <is>
          <t>CPA</t>
        </is>
      </c>
      <c r="M10" s="11" t="inlineStr">
        <is>
          <t>ROAS</t>
        </is>
      </c>
    </row>
    <row r="11">
      <c r="B11" s="16" t="inlineStr">
        <is>
          <t>All data</t>
        </is>
      </c>
      <c r="C11" s="16" t="n"/>
      <c r="D11" s="17">
        <f>SUM(tblCampaignData[Impressions])</f>
        <v>75988603</v>
      </c>
      <c r="E11" s="17">
        <f>SUM(tblCampaignData[Clicks])</f>
        <v>603840</v>
      </c>
      <c r="F11" s="18">
        <f>SUM(tblCampaignData[Marketing Spend])</f>
        <v>8731979</v>
      </c>
      <c r="G11" s="17">
        <f>SUM(tblCampaignData[Leads])</f>
        <v>42871</v>
      </c>
      <c r="H11" s="17">
        <f>SUM(tblCampaignData[Conversions])</f>
        <v>7690</v>
      </c>
      <c r="I11" s="18">
        <f>SUM(tblCampaignData[Attributed Revenue])</f>
        <v>27227675</v>
      </c>
      <c r="J11" s="19">
        <f>IFERROR(E11/D11,0)</f>
        <v>0.00794645481244076</v>
      </c>
      <c r="K11" s="18">
        <f>IFERROR(F11/G11,0)</f>
        <v>203.680320029857</v>
      </c>
      <c r="L11" s="18">
        <f>IFERROR(F11/H11,0)</f>
        <v>1135.49791937581</v>
      </c>
      <c r="M11" s="20">
        <f>IFERROR(I11/F11,0)</f>
        <v>3.1181562621715</v>
      </c>
    </row>
    <row r="12">
      <c r="B12" s="21" t="inlineStr">
        <is>
          <t>Current selection</t>
        </is>
      </c>
      <c r="C12" s="21" t="n"/>
      <c r="D12" s="22">
        <f>SUMIFS(tblCampaignData[Impressions],tblCampaignData[Marketing Channel],$D$6,tblCampaignData[Campaign Name],$D$7)</f>
        <v>75988603</v>
      </c>
      <c r="E12" s="22">
        <f>SUMIFS(tblCampaignData[Clicks],tblCampaignData[Marketing Channel],$D$6,tblCampaignData[Campaign Name],$D$7)</f>
        <v>603840</v>
      </c>
      <c r="F12" s="23">
        <f>SUMIFS(tblCampaignData[Marketing Spend],tblCampaignData[Marketing Channel],$D$6,tblCampaignData[Campaign Name],$D$7)</f>
        <v>8731979</v>
      </c>
      <c r="G12" s="22">
        <f>SUMIFS(tblCampaignData[Leads],tblCampaignData[Marketing Channel],$D$6,tblCampaignData[Campaign Name],$D$7)</f>
        <v>42871</v>
      </c>
      <c r="H12" s="22">
        <f>SUMIFS(tblCampaignData[Conversions],tblCampaignData[Marketing Channel],$D$6,tblCampaignData[Campaign Name],$D$7)</f>
        <v>7690</v>
      </c>
      <c r="I12" s="23">
        <f>SUMIFS(tblCampaignData[Attributed Revenue],tblCampaignData[Marketing Channel],$D$6,tblCampaignData[Campaign Name],$D$7)</f>
        <v>27227675</v>
      </c>
      <c r="J12" s="24">
        <f>IFERROR(E12/D12,0)</f>
        <v>0.00794645481244076</v>
      </c>
      <c r="K12" s="23">
        <f>IFERROR(F12/G12,0)</f>
        <v>203.680320029857</v>
      </c>
      <c r="L12" s="23">
        <f>IFERROR(F12/H12,0)</f>
        <v>1135.49791937581</v>
      </c>
      <c r="M12" s="25">
        <f>IFERROR(I12/F12,0)</f>
        <v>3.1181562621715</v>
      </c>
    </row>
    <row r="14">
      <c r="B14" s="8" t="inlineStr">
        <is>
          <t>3. Channel summary - current selection (feeds charts 1 and 2)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26" customHeight="1">
      <c r="B15" s="10" t="inlineStr">
        <is>
          <t>Marketing Channel</t>
        </is>
      </c>
      <c r="C15" s="15" t="n"/>
      <c r="D15" s="11" t="inlineStr">
        <is>
          <t>Impressions</t>
        </is>
      </c>
      <c r="E15" s="11" t="inlineStr">
        <is>
          <t>Clicks</t>
        </is>
      </c>
      <c r="F15" s="11" t="inlineStr">
        <is>
          <t>Marketing Spend</t>
        </is>
      </c>
      <c r="G15" s="11" t="inlineStr">
        <is>
          <t>Leads</t>
        </is>
      </c>
      <c r="H15" s="11" t="inlineStr">
        <is>
          <t>Conversions</t>
        </is>
      </c>
      <c r="I15" s="11" t="inlineStr">
        <is>
          <t>Attributed Revenue</t>
        </is>
      </c>
      <c r="J15" s="11" t="inlineStr">
        <is>
          <t>CTR</t>
        </is>
      </c>
      <c r="K15" s="11" t="inlineStr">
        <is>
          <t>CPL</t>
        </is>
      </c>
      <c r="L15" s="11" t="inlineStr">
        <is>
          <t>CPA</t>
        </is>
      </c>
      <c r="M15" s="11" t="inlineStr">
        <is>
          <t>ROAS</t>
        </is>
      </c>
    </row>
    <row r="16">
      <c r="B16" s="21" t="inlineStr">
        <is>
          <t>All</t>
        </is>
      </c>
      <c r="C16" s="21" t="n"/>
      <c r="D16" s="22">
        <f>SUM(D17:D20)</f>
        <v>75988603</v>
      </c>
      <c r="E16" s="22">
        <f>SUM(E17:E20)</f>
        <v>603840</v>
      </c>
      <c r="F16" s="23">
        <f>SUM(F17:F20)</f>
        <v>8731979</v>
      </c>
      <c r="G16" s="22">
        <f>SUM(G17:G20)</f>
        <v>42871</v>
      </c>
      <c r="H16" s="22">
        <f>SUM(H17:H20)</f>
        <v>7690</v>
      </c>
      <c r="I16" s="23">
        <f>SUM(I17:I20)</f>
        <v>27227675</v>
      </c>
      <c r="J16" s="24">
        <f>IFERROR(E16/D16,0)</f>
        <v>0.00794645481244076</v>
      </c>
      <c r="K16" s="23">
        <f>IFERROR(F16/G16,0)</f>
        <v>203.680320029857</v>
      </c>
      <c r="L16" s="23">
        <f>IFERROR(F16/H16,0)</f>
        <v>1135.49791937581</v>
      </c>
      <c r="M16" s="25">
        <f>IFERROR(I16/F16,0)</f>
        <v>3.1181562621715</v>
      </c>
    </row>
    <row r="17">
      <c r="B17" s="16" t="inlineStr">
        <is>
          <t>Paid Search</t>
        </is>
      </c>
      <c r="C17" s="16" t="n"/>
      <c r="D17" s="17">
        <f>SUMIFS(tblCampaignData[Impressions],tblCampaignData[Marketing Channel],$B17,tblCampaignData[Marketing Channel],$D$6,tblCampaignData[Campaign Name],$D$7)</f>
        <v>3006176</v>
      </c>
      <c r="E17" s="17">
        <f>SUMIFS(tblCampaignData[Clicks],tblCampaignData[Marketing Channel],$B17,tblCampaignData[Marketing Channel],$D$6,tblCampaignData[Campaign Name],$D$7)</f>
        <v>144438</v>
      </c>
      <c r="F17" s="18">
        <f>SUMIFS(tblCampaignData[Marketing Spend],tblCampaignData[Marketing Channel],$B17,tblCampaignData[Marketing Channel],$D$6,tblCampaignData[Campaign Name],$D$7)</f>
        <v>3162266</v>
      </c>
      <c r="G17" s="17">
        <f>SUMIFS(tblCampaignData[Leads],tblCampaignData[Marketing Channel],$B17,tblCampaignData[Marketing Channel],$D$6,tblCampaignData[Campaign Name],$D$7)</f>
        <v>15586</v>
      </c>
      <c r="H17" s="17">
        <f>SUMIFS(tblCampaignData[Conversions],tblCampaignData[Marketing Channel],$B17,tblCampaignData[Marketing Channel],$D$6,tblCampaignData[Campaign Name],$D$7)</f>
        <v>3924</v>
      </c>
      <c r="I17" s="18">
        <f>SUMIFS(tblCampaignData[Attributed Revenue],tblCampaignData[Marketing Channel],$B17,tblCampaignData[Marketing Channel],$D$6,tblCampaignData[Campaign Name],$D$7)</f>
        <v>14669291</v>
      </c>
      <c r="J17" s="19">
        <f>IFERROR(E17/D17,0)</f>
        <v>0.0480470870634321</v>
      </c>
      <c r="K17" s="18">
        <f>IFERROR(F17/G17,0)</f>
        <v>202.891441036828</v>
      </c>
      <c r="L17" s="18">
        <f>IFERROR(F17/H17,0)</f>
        <v>805.878185524975</v>
      </c>
      <c r="M17" s="20">
        <f>IFERROR(I17/F17,0)</f>
        <v>4.63885422668428</v>
      </c>
    </row>
    <row r="18">
      <c r="B18" s="16" t="inlineStr">
        <is>
          <t>Paid Social</t>
        </is>
      </c>
      <c r="C18" s="16" t="n"/>
      <c r="D18" s="17">
        <f>SUMIFS(tblCampaignData[Impressions],tblCampaignData[Marketing Channel],$B18,tblCampaignData[Marketing Channel],$D$6,tblCampaignData[Campaign Name],$D$7)</f>
        <v>11886616</v>
      </c>
      <c r="E18" s="17">
        <f>SUMIFS(tblCampaignData[Clicks],tblCampaignData[Marketing Channel],$B18,tblCampaignData[Marketing Channel],$D$6,tblCampaignData[Campaign Name],$D$7)</f>
        <v>162851</v>
      </c>
      <c r="F18" s="18">
        <f>SUMIFS(tblCampaignData[Marketing Spend],tblCampaignData[Marketing Channel],$B18,tblCampaignData[Marketing Channel],$D$6,tblCampaignData[Campaign Name],$D$7)</f>
        <v>2071600</v>
      </c>
      <c r="G18" s="17">
        <f>SUMIFS(tblCampaignData[Leads],tblCampaignData[Marketing Channel],$B18,tblCampaignData[Marketing Channel],$D$6,tblCampaignData[Campaign Name],$D$7)</f>
        <v>13392</v>
      </c>
      <c r="H18" s="17">
        <f>SUMIFS(tblCampaignData[Conversions],tblCampaignData[Marketing Channel],$B18,tblCampaignData[Marketing Channel],$D$6,tblCampaignData[Campaign Name],$D$7)</f>
        <v>1878</v>
      </c>
      <c r="I18" s="18">
        <f>SUMIFS(tblCampaignData[Attributed Revenue],tblCampaignData[Marketing Channel],$B18,tblCampaignData[Marketing Channel],$D$6,tblCampaignData[Campaign Name],$D$7)</f>
        <v>6046722</v>
      </c>
      <c r="J18" s="19">
        <f>IFERROR(E18/D18,0)</f>
        <v>0.0137003668663983</v>
      </c>
      <c r="K18" s="18">
        <f>IFERROR(F18/G18,0)</f>
        <v>154.689366786141</v>
      </c>
      <c r="L18" s="18">
        <f>IFERROR(F18/H18,0)</f>
        <v>1103.08839190628</v>
      </c>
      <c r="M18" s="20">
        <f>IFERROR(I18/F18,0)</f>
        <v>2.91886561112184</v>
      </c>
    </row>
    <row r="19">
      <c r="B19" s="16" t="inlineStr">
        <is>
          <t>Email Marketing</t>
        </is>
      </c>
      <c r="C19" s="16" t="n"/>
      <c r="D19" s="17">
        <f>SUMIFS(tblCampaignData[Impressions],tblCampaignData[Marketing Channel],$B19,tblCampaignData[Marketing Channel],$D$6,tblCampaignData[Campaign Name],$D$7)</f>
        <v>829251</v>
      </c>
      <c r="E19" s="17">
        <f>SUMIFS(tblCampaignData[Clicks],tblCampaignData[Marketing Channel],$B19,tblCampaignData[Marketing Channel],$D$6,tblCampaignData[Campaign Name],$D$7)</f>
        <v>27075</v>
      </c>
      <c r="F19" s="18">
        <f>SUMIFS(tblCampaignData[Marketing Spend],tblCampaignData[Marketing Channel],$B19,tblCampaignData[Marketing Channel],$D$6,tblCampaignData[Campaign Name],$D$7)</f>
        <v>199181</v>
      </c>
      <c r="G19" s="17">
        <f>SUMIFS(tblCampaignData[Leads],tblCampaignData[Marketing Channel],$B19,tblCampaignData[Marketing Channel],$D$6,tblCampaignData[Campaign Name],$D$7)</f>
        <v>4585</v>
      </c>
      <c r="H19" s="17">
        <f>SUMIFS(tblCampaignData[Conversions],tblCampaignData[Marketing Channel],$B19,tblCampaignData[Marketing Channel],$D$6,tblCampaignData[Campaign Name],$D$7)</f>
        <v>769</v>
      </c>
      <c r="I19" s="18">
        <f>SUMIFS(tblCampaignData[Attributed Revenue],tblCampaignData[Marketing Channel],$B19,tblCampaignData[Marketing Channel],$D$6,tblCampaignData[Campaign Name],$D$7)</f>
        <v>2237123</v>
      </c>
      <c r="J19" s="19">
        <f>IFERROR(E19/D19,0)</f>
        <v>0.0326499455532764</v>
      </c>
      <c r="K19" s="18">
        <f>IFERROR(F19/G19,0)</f>
        <v>43.4418756815703</v>
      </c>
      <c r="L19" s="18">
        <f>IFERROR(F19/H19,0)</f>
        <v>259.01300390117</v>
      </c>
      <c r="M19" s="20">
        <f>IFERROR(I19/F19,0)</f>
        <v>11.2316084365477</v>
      </c>
    </row>
    <row r="20">
      <c r="B20" s="16" t="inlineStr">
        <is>
          <t>Display Advertising</t>
        </is>
      </c>
      <c r="C20" s="16" t="n"/>
      <c r="D20" s="17">
        <f>SUMIFS(tblCampaignData[Impressions],tblCampaignData[Marketing Channel],$B20,tblCampaignData[Marketing Channel],$D$6,tblCampaignData[Campaign Name],$D$7)</f>
        <v>60266560</v>
      </c>
      <c r="E20" s="17">
        <f>SUMIFS(tblCampaignData[Clicks],tblCampaignData[Marketing Channel],$B20,tblCampaignData[Marketing Channel],$D$6,tblCampaignData[Campaign Name],$D$7)</f>
        <v>269476</v>
      </c>
      <c r="F20" s="18">
        <f>SUMIFS(tblCampaignData[Marketing Spend],tblCampaignData[Marketing Channel],$B20,tblCampaignData[Marketing Channel],$D$6,tblCampaignData[Campaign Name],$D$7)</f>
        <v>3298932</v>
      </c>
      <c r="G20" s="17">
        <f>SUMIFS(tblCampaignData[Leads],tblCampaignData[Marketing Channel],$B20,tblCampaignData[Marketing Channel],$D$6,tblCampaignData[Campaign Name],$D$7)</f>
        <v>9308</v>
      </c>
      <c r="H20" s="17">
        <f>SUMIFS(tblCampaignData[Conversions],tblCampaignData[Marketing Channel],$B20,tblCampaignData[Marketing Channel],$D$6,tblCampaignData[Campaign Name],$D$7)</f>
        <v>1119</v>
      </c>
      <c r="I20" s="18">
        <f>SUMIFS(tblCampaignData[Attributed Revenue],tblCampaignData[Marketing Channel],$B20,tblCampaignData[Marketing Channel],$D$6,tblCampaignData[Campaign Name],$D$7)</f>
        <v>4274539</v>
      </c>
      <c r="J20" s="19">
        <f>IFERROR(E20/D20,0)</f>
        <v>0.00447140171929508</v>
      </c>
      <c r="K20" s="18">
        <f>IFERROR(F20/G20,0)</f>
        <v>354.418994413408</v>
      </c>
      <c r="L20" s="18">
        <f>IFERROR(F20/H20,0)</f>
        <v>2948.1072386059</v>
      </c>
      <c r="M20" s="20">
        <f>IFERROR(I20/F20,0)</f>
        <v>1.29573419518802</v>
      </c>
    </row>
    <row r="22">
      <c r="B22" s="8" t="inlineStr">
        <is>
          <t>4. Campaign summary - current selection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26" customHeight="1">
      <c r="B23" s="10" t="inlineStr">
        <is>
          <t>Campaign Name</t>
        </is>
      </c>
      <c r="C23" s="11" t="inlineStr">
        <is>
          <t>Marketing Channel</t>
        </is>
      </c>
      <c r="D23" s="11" t="inlineStr">
        <is>
          <t>Impressions</t>
        </is>
      </c>
      <c r="E23" s="11" t="inlineStr">
        <is>
          <t>Clicks</t>
        </is>
      </c>
      <c r="F23" s="11" t="inlineStr">
        <is>
          <t>Marketing Spend</t>
        </is>
      </c>
      <c r="G23" s="11" t="inlineStr">
        <is>
          <t>Leads</t>
        </is>
      </c>
      <c r="H23" s="11" t="inlineStr">
        <is>
          <t>Conversions</t>
        </is>
      </c>
      <c r="I23" s="11" t="inlineStr">
        <is>
          <t>Attributed Revenue</t>
        </is>
      </c>
      <c r="J23" s="11" t="inlineStr">
        <is>
          <t>CTR</t>
        </is>
      </c>
      <c r="K23" s="11" t="inlineStr">
        <is>
          <t>CPL</t>
        </is>
      </c>
      <c r="L23" s="11" t="inlineStr">
        <is>
          <t>CPA</t>
        </is>
      </c>
      <c r="M23" s="11" t="inlineStr">
        <is>
          <t>ROAS</t>
        </is>
      </c>
      <c r="N23" s="11" t="inlineStr">
        <is>
          <t>ROAS rank</t>
        </is>
      </c>
    </row>
    <row r="24">
      <c r="B24" s="21" t="inlineStr">
        <is>
          <t>All</t>
        </is>
      </c>
      <c r="C24" s="21" t="n"/>
      <c r="D24" s="22">
        <f>SUM(D25:D33)</f>
        <v>75988603</v>
      </c>
      <c r="E24" s="22">
        <f>SUM(E25:E33)</f>
        <v>603840</v>
      </c>
      <c r="F24" s="23">
        <f>SUM(F25:F33)</f>
        <v>8731979</v>
      </c>
      <c r="G24" s="22">
        <f>SUM(G25:G33)</f>
        <v>42871</v>
      </c>
      <c r="H24" s="22">
        <f>SUM(H25:H33)</f>
        <v>7690</v>
      </c>
      <c r="I24" s="23">
        <f>SUM(I25:I33)</f>
        <v>27227675</v>
      </c>
      <c r="J24" s="24">
        <f>IFERROR(E24/D24,0)</f>
        <v>0.00794645481244076</v>
      </c>
      <c r="K24" s="23">
        <f>IFERROR(F24/G24,0)</f>
        <v>203.680320029857</v>
      </c>
      <c r="L24" s="23">
        <f>IFERROR(F24/H24,0)</f>
        <v>1135.49791937581</v>
      </c>
      <c r="M24" s="25">
        <f>IFERROR(I24/F24,0)</f>
        <v>3.1181562621715</v>
      </c>
      <c r="N24" s="26" t="n"/>
    </row>
    <row r="25">
      <c r="B25" s="16" t="inlineStr">
        <is>
          <t>Brand Search</t>
        </is>
      </c>
      <c r="C25" s="16" t="str">
        <f>INDEX(tblCampaignData[Marketing Channel],MATCH($B25,tblCampaignData[Campaign Name],0))</f>
        <v>Paid Search</v>
      </c>
      <c r="D25" s="17">
        <f>SUMIFS(tblCampaignData[Impressions],tblCampaignData[Campaign Name],$B25,tblCampaignData[Campaign Name],$D$7,tblCampaignData[Marketing Channel],$D$6)</f>
        <v>797249</v>
      </c>
      <c r="E25" s="17">
        <f>SUMIFS(tblCampaignData[Clicks],tblCampaignData[Campaign Name],$B25,tblCampaignData[Campaign Name],$D$7,tblCampaignData[Marketing Channel],$D$6)</f>
        <v>58898</v>
      </c>
      <c r="F25" s="18">
        <f>SUMIFS(tblCampaignData[Marketing Spend],tblCampaignData[Campaign Name],$B25,tblCampaignData[Campaign Name],$D$7,tblCampaignData[Marketing Channel],$D$6)</f>
        <v>953278</v>
      </c>
      <c r="G25" s="17">
        <f>SUMIFS(tblCampaignData[Leads],tblCampaignData[Campaign Name],$B25,tblCampaignData[Campaign Name],$D$7,tblCampaignData[Marketing Channel],$D$6)</f>
        <v>7109</v>
      </c>
      <c r="H25" s="17">
        <f>SUMIFS(tblCampaignData[Conversions],tblCampaignData[Campaign Name],$B25,tblCampaignData[Campaign Name],$D$7,tblCampaignData[Marketing Channel],$D$6)</f>
        <v>2110</v>
      </c>
      <c r="I25" s="18">
        <f>SUMIFS(tblCampaignData[Attributed Revenue],tblCampaignData[Campaign Name],$B25,tblCampaignData[Campaign Name],$D$7,tblCampaignData[Marketing Channel],$D$6)</f>
        <v>6846070</v>
      </c>
      <c r="J25" s="19">
        <f>IFERROR(E25/D25,0)</f>
        <v>0.073876542962111</v>
      </c>
      <c r="K25" s="18">
        <f>IFERROR(F25/G25,0)</f>
        <v>134.094528063019</v>
      </c>
      <c r="L25" s="18">
        <f>IFERROR(F25/H25,0)</f>
        <v>451.790521327014</v>
      </c>
      <c r="M25" s="20">
        <f>IFERROR(I25/F25,0)</f>
        <v>7.18160914234882</v>
      </c>
      <c r="N25" s="27">
        <f>IF(F25&gt;0,SUMPRODUCT(($F$25:$F$33&gt;0)*($M$25:$M$33&gt;M25))+SUMPRODUCT(($F$25:F25&gt;0)*($M$25:M25=M25)),"")</f>
        <v>3</v>
      </c>
    </row>
    <row r="26">
      <c r="B26" s="16" t="inlineStr">
        <is>
          <t>Generic Kitchen Search</t>
        </is>
      </c>
      <c r="C26" s="16" t="str">
        <f>INDEX(tblCampaignData[Marketing Channel],MATCH($B26,tblCampaignData[Campaign Name],0))</f>
        <v>Paid Search</v>
      </c>
      <c r="D26" s="17">
        <f>SUMIFS(tblCampaignData[Impressions],tblCampaignData[Campaign Name],$B26,tblCampaignData[Campaign Name],$D$7,tblCampaignData[Marketing Channel],$D$6)</f>
        <v>1449278</v>
      </c>
      <c r="E26" s="17">
        <f>SUMIFS(tblCampaignData[Clicks],tblCampaignData[Campaign Name],$B26,tblCampaignData[Campaign Name],$D$7,tblCampaignData[Marketing Channel],$D$6)</f>
        <v>51204</v>
      </c>
      <c r="F26" s="18">
        <f>SUMIFS(tblCampaignData[Marketing Spend],tblCampaignData[Campaign Name],$B26,tblCampaignData[Campaign Name],$D$7,tblCampaignData[Marketing Channel],$D$6)</f>
        <v>1406754</v>
      </c>
      <c r="G26" s="17">
        <f>SUMIFS(tblCampaignData[Leads],tblCampaignData[Campaign Name],$B26,tblCampaignData[Campaign Name],$D$7,tblCampaignData[Marketing Channel],$D$6)</f>
        <v>4642</v>
      </c>
      <c r="H26" s="17">
        <f>SUMIFS(tblCampaignData[Conversions],tblCampaignData[Campaign Name],$B26,tblCampaignData[Campaign Name],$D$7,tblCampaignData[Marketing Channel],$D$6)</f>
        <v>949</v>
      </c>
      <c r="I26" s="18">
        <f>SUMIFS(tblCampaignData[Attributed Revenue],tblCampaignData[Campaign Name],$B26,tblCampaignData[Campaign Name],$D$7,tblCampaignData[Marketing Channel],$D$6)</f>
        <v>3815886</v>
      </c>
      <c r="J26" s="19">
        <f>IFERROR(E26/D26,0)</f>
        <v>0.0353306956981338</v>
      </c>
      <c r="K26" s="18">
        <f>IFERROR(F26/G26,0)</f>
        <v>303.049116760017</v>
      </c>
      <c r="L26" s="18">
        <f>IFERROR(F26/H26,0)</f>
        <v>1482.354056902</v>
      </c>
      <c r="M26" s="20">
        <f>IFERROR(I26/F26,0)</f>
        <v>2.71254675657578</v>
      </c>
      <c r="N26" s="27">
        <f>IF(F26&gt;0,SUMPRODUCT(($F$25:$F$33&gt;0)*($M$25:$M$33&gt;M26))+SUMPRODUCT(($F$25:F26&gt;0)*($M$25:M26=M26)),"")</f>
        <v>6</v>
      </c>
    </row>
    <row r="27">
      <c r="B27" s="16" t="inlineStr">
        <is>
          <t>Festive Gifting Search</t>
        </is>
      </c>
      <c r="C27" s="16" t="str">
        <f>INDEX(tblCampaignData[Marketing Channel],MATCH($B27,tblCampaignData[Campaign Name],0))</f>
        <v>Paid Search</v>
      </c>
      <c r="D27" s="17">
        <f>SUMIFS(tblCampaignData[Impressions],tblCampaignData[Campaign Name],$B27,tblCampaignData[Campaign Name],$D$7,tblCampaignData[Marketing Channel],$D$6)</f>
        <v>759649</v>
      </c>
      <c r="E27" s="17">
        <f>SUMIFS(tblCampaignData[Clicks],tblCampaignData[Campaign Name],$B27,tblCampaignData[Campaign Name],$D$7,tblCampaignData[Marketing Channel],$D$6)</f>
        <v>34336</v>
      </c>
      <c r="F27" s="18">
        <f>SUMIFS(tblCampaignData[Marketing Spend],tblCampaignData[Campaign Name],$B27,tblCampaignData[Campaign Name],$D$7,tblCampaignData[Marketing Channel],$D$6)</f>
        <v>802234</v>
      </c>
      <c r="G27" s="17">
        <f>SUMIFS(tblCampaignData[Leads],tblCampaignData[Campaign Name],$B27,tblCampaignData[Campaign Name],$D$7,tblCampaignData[Marketing Channel],$D$6)</f>
        <v>3835</v>
      </c>
      <c r="H27" s="17">
        <f>SUMIFS(tblCampaignData[Conversions],tblCampaignData[Campaign Name],$B27,tblCampaignData[Campaign Name],$D$7,tblCampaignData[Marketing Channel],$D$6)</f>
        <v>865</v>
      </c>
      <c r="I27" s="18">
        <f>SUMIFS(tblCampaignData[Attributed Revenue],tblCampaignData[Campaign Name],$B27,tblCampaignData[Campaign Name],$D$7,tblCampaignData[Marketing Channel],$D$6)</f>
        <v>4007335</v>
      </c>
      <c r="J27" s="19">
        <f>IFERROR(E27/D27,0)</f>
        <v>0.0451998225496249</v>
      </c>
      <c r="K27" s="18">
        <f>IFERROR(F27/G27,0)</f>
        <v>209.187483702738</v>
      </c>
      <c r="L27" s="18">
        <f>IFERROR(F27/H27,0)</f>
        <v>927.438150289017</v>
      </c>
      <c r="M27" s="20">
        <f>IFERROR(I27/F27,0)</f>
        <v>4.99521959926904</v>
      </c>
      <c r="N27" s="27">
        <f>IF(F27&gt;0,SUMPRODUCT(($F$25:$F$33&gt;0)*($M$25:$M$33&gt;M27))+SUMPRODUCT(($F$25:F27&gt;0)*($M$25:M27=M27)),"")</f>
        <v>5</v>
      </c>
    </row>
    <row r="28">
      <c r="B28" s="16" t="inlineStr">
        <is>
          <t>Instagram Reels Sale</t>
        </is>
      </c>
      <c r="C28" s="16" t="str">
        <f>INDEX(tblCampaignData[Marketing Channel],MATCH($B28,tblCampaignData[Campaign Name],0))</f>
        <v>Paid Social</v>
      </c>
      <c r="D28" s="17">
        <f>SUMIFS(tblCampaignData[Impressions],tblCampaignData[Campaign Name],$B28,tblCampaignData[Campaign Name],$D$7,tblCampaignData[Marketing Channel],$D$6)</f>
        <v>9281561</v>
      </c>
      <c r="E28" s="17">
        <f>SUMIFS(tblCampaignData[Clicks],tblCampaignData[Campaign Name],$B28,tblCampaignData[Campaign Name],$D$7,tblCampaignData[Marketing Channel],$D$6)</f>
        <v>109477</v>
      </c>
      <c r="F28" s="18">
        <f>SUMIFS(tblCampaignData[Marketing Spend],tblCampaignData[Campaign Name],$B28,tblCampaignData[Campaign Name],$D$7,tblCampaignData[Marketing Channel],$D$6)</f>
        <v>1316786</v>
      </c>
      <c r="G28" s="17">
        <f>SUMIFS(tblCampaignData[Leads],tblCampaignData[Campaign Name],$B28,tblCampaignData[Campaign Name],$D$7,tblCampaignData[Marketing Channel],$D$6)</f>
        <v>5483</v>
      </c>
      <c r="H28" s="17">
        <f>SUMIFS(tblCampaignData[Conversions],tblCampaignData[Campaign Name],$B28,tblCampaignData[Campaign Name],$D$7,tblCampaignData[Marketing Channel],$D$6)</f>
        <v>683</v>
      </c>
      <c r="I28" s="18">
        <f>SUMIFS(tblCampaignData[Attributed Revenue],tblCampaignData[Campaign Name],$B28,tblCampaignData[Campaign Name],$D$7,tblCampaignData[Marketing Channel],$D$6)</f>
        <v>2078003</v>
      </c>
      <c r="J28" s="19">
        <f>IFERROR(E28/D28,0)</f>
        <v>0.0117951064481503</v>
      </c>
      <c r="K28" s="18">
        <f>IFERROR(F28/G28,0)</f>
        <v>240.157942732081</v>
      </c>
      <c r="L28" s="18">
        <f>IFERROR(F28/H28,0)</f>
        <v>1927.94436310395</v>
      </c>
      <c r="M28" s="20">
        <f>IFERROR(I28/F28,0)</f>
        <v>1.57808709995398</v>
      </c>
      <c r="N28" s="27">
        <f>IF(F28&gt;0,SUMPRODUCT(($F$25:$F$33&gt;0)*($M$25:$M$33&gt;M28))+SUMPRODUCT(($F$25:F28&gt;0)*($M$25:M28=M28)),"")</f>
        <v>8</v>
      </c>
    </row>
    <row r="29">
      <c r="B29" s="16" t="inlineStr">
        <is>
          <t>Cart Retargeting</t>
        </is>
      </c>
      <c r="C29" s="16" t="str">
        <f>INDEX(tblCampaignData[Marketing Channel],MATCH($B29,tblCampaignData[Campaign Name],0))</f>
        <v>Paid Social</v>
      </c>
      <c r="D29" s="17">
        <f>SUMIFS(tblCampaignData[Impressions],tblCampaignData[Campaign Name],$B29,tblCampaignData[Campaign Name],$D$7,tblCampaignData[Marketing Channel],$D$6)</f>
        <v>2605055</v>
      </c>
      <c r="E29" s="17">
        <f>SUMIFS(tblCampaignData[Clicks],tblCampaignData[Campaign Name],$B29,tblCampaignData[Campaign Name],$D$7,tblCampaignData[Marketing Channel],$D$6)</f>
        <v>53374</v>
      </c>
      <c r="F29" s="18">
        <f>SUMIFS(tblCampaignData[Marketing Spend],tblCampaignData[Campaign Name],$B29,tblCampaignData[Campaign Name],$D$7,tblCampaignData[Marketing Channel],$D$6)</f>
        <v>754814</v>
      </c>
      <c r="G29" s="17">
        <f>SUMIFS(tblCampaignData[Leads],tblCampaignData[Campaign Name],$B29,tblCampaignData[Campaign Name],$D$7,tblCampaignData[Marketing Channel],$D$6)</f>
        <v>7909</v>
      </c>
      <c r="H29" s="17">
        <f>SUMIFS(tblCampaignData[Conversions],tblCampaignData[Campaign Name],$B29,tblCampaignData[Campaign Name],$D$7,tblCampaignData[Marketing Channel],$D$6)</f>
        <v>1195</v>
      </c>
      <c r="I29" s="18">
        <f>SUMIFS(tblCampaignData[Attributed Revenue],tblCampaignData[Campaign Name],$B29,tblCampaignData[Campaign Name],$D$7,tblCampaignData[Marketing Channel],$D$6)</f>
        <v>3968719</v>
      </c>
      <c r="J29" s="19">
        <f>IFERROR(E29/D29,0)</f>
        <v>0.0204886269195852</v>
      </c>
      <c r="K29" s="18">
        <f>IFERROR(F29/G29,0)</f>
        <v>95.437349854596</v>
      </c>
      <c r="L29" s="18">
        <f>IFERROR(F29/H29,0)</f>
        <v>631.643514644352</v>
      </c>
      <c r="M29" s="20">
        <f>IFERROR(I29/F29,0)</f>
        <v>5.25787677494058</v>
      </c>
      <c r="N29" s="27">
        <f>IF(F29&gt;0,SUMPRODUCT(($F$25:$F$33&gt;0)*($M$25:$M$33&gt;M29))+SUMPRODUCT(($F$25:F29&gt;0)*($M$25:M29=M29)),"")</f>
        <v>4</v>
      </c>
    </row>
    <row r="30">
      <c r="B30" s="16" t="inlineStr">
        <is>
          <t>Welcome Series</t>
        </is>
      </c>
      <c r="C30" s="16" t="str">
        <f>INDEX(tblCampaignData[Marketing Channel],MATCH($B30,tblCampaignData[Campaign Name],0))</f>
        <v>Email Marketing</v>
      </c>
      <c r="D30" s="17">
        <f>SUMIFS(tblCampaignData[Impressions],tblCampaignData[Campaign Name],$B30,tblCampaignData[Campaign Name],$D$7,tblCampaignData[Marketing Channel],$D$6)</f>
        <v>475715</v>
      </c>
      <c r="E30" s="17">
        <f>SUMIFS(tblCampaignData[Clicks],tblCampaignData[Campaign Name],$B30,tblCampaignData[Campaign Name],$D$7,tblCampaignData[Marketing Channel],$D$6)</f>
        <v>16883</v>
      </c>
      <c r="F30" s="18">
        <f>SUMIFS(tblCampaignData[Marketing Spend],tblCampaignData[Campaign Name],$B30,tblCampaignData[Campaign Name],$D$7,tblCampaignData[Marketing Channel],$D$6)</f>
        <v>117415</v>
      </c>
      <c r="G30" s="17">
        <f>SUMIFS(tblCampaignData[Leads],tblCampaignData[Campaign Name],$B30,tblCampaignData[Campaign Name],$D$7,tblCampaignData[Marketing Channel],$D$6)</f>
        <v>3374</v>
      </c>
      <c r="H30" s="17">
        <f>SUMIFS(tblCampaignData[Conversions],tblCampaignData[Campaign Name],$B30,tblCampaignData[Campaign Name],$D$7,tblCampaignData[Marketing Channel],$D$6)</f>
        <v>519</v>
      </c>
      <c r="I30" s="18">
        <f>SUMIFS(tblCampaignData[Attributed Revenue],tblCampaignData[Campaign Name],$B30,tblCampaignData[Campaign Name],$D$7,tblCampaignData[Marketing Channel],$D$6)</f>
        <v>1444345</v>
      </c>
      <c r="J30" s="19">
        <f>IFERROR(E30/D30,0)</f>
        <v>0.0354897365018971</v>
      </c>
      <c r="K30" s="18">
        <f>IFERROR(F30/G30,0)</f>
        <v>34.7999407231772</v>
      </c>
      <c r="L30" s="18">
        <f>IFERROR(F30/H30,0)</f>
        <v>226.233140655106</v>
      </c>
      <c r="M30" s="20">
        <f>IFERROR(I30/F30,0)</f>
        <v>12.3011966103138</v>
      </c>
      <c r="N30" s="27">
        <f>IF(F30&gt;0,SUMPRODUCT(($F$25:$F$33&gt;0)*($M$25:$M$33&gt;M30))+SUMPRODUCT(($F$25:F30&gt;0)*($M$25:M30=M30)),"")</f>
        <v>1</v>
      </c>
    </row>
    <row r="31">
      <c r="B31" s="16" t="inlineStr">
        <is>
          <t>Win-back Offer</t>
        </is>
      </c>
      <c r="C31" s="16" t="str">
        <f>INDEX(tblCampaignData[Marketing Channel],MATCH($B31,tblCampaignData[Campaign Name],0))</f>
        <v>Email Marketing</v>
      </c>
      <c r="D31" s="17">
        <f>SUMIFS(tblCampaignData[Impressions],tblCampaignData[Campaign Name],$B31,tblCampaignData[Campaign Name],$D$7,tblCampaignData[Marketing Channel],$D$6)</f>
        <v>353536</v>
      </c>
      <c r="E31" s="17">
        <f>SUMIFS(tblCampaignData[Clicks],tblCampaignData[Campaign Name],$B31,tblCampaignData[Campaign Name],$D$7,tblCampaignData[Marketing Channel],$D$6)</f>
        <v>10192</v>
      </c>
      <c r="F31" s="18">
        <f>SUMIFS(tblCampaignData[Marketing Spend],tblCampaignData[Campaign Name],$B31,tblCampaignData[Campaign Name],$D$7,tblCampaignData[Marketing Channel],$D$6)</f>
        <v>81766</v>
      </c>
      <c r="G31" s="17">
        <f>SUMIFS(tblCampaignData[Leads],tblCampaignData[Campaign Name],$B31,tblCampaignData[Campaign Name],$D$7,tblCampaignData[Marketing Channel],$D$6)</f>
        <v>1211</v>
      </c>
      <c r="H31" s="17">
        <f>SUMIFS(tblCampaignData[Conversions],tblCampaignData[Campaign Name],$B31,tblCampaignData[Campaign Name],$D$7,tblCampaignData[Marketing Channel],$D$6)</f>
        <v>250</v>
      </c>
      <c r="I31" s="18">
        <f>SUMIFS(tblCampaignData[Attributed Revenue],tblCampaignData[Campaign Name],$B31,tblCampaignData[Campaign Name],$D$7,tblCampaignData[Marketing Channel],$D$6)</f>
        <v>792778</v>
      </c>
      <c r="J31" s="19">
        <f>IFERROR(E31/D31,0)</f>
        <v>0.0288287472845764</v>
      </c>
      <c r="K31" s="18">
        <f>IFERROR(F31/G31,0)</f>
        <v>67.5194054500413</v>
      </c>
      <c r="L31" s="18">
        <f>IFERROR(F31/H31,0)</f>
        <v>327.064</v>
      </c>
      <c r="M31" s="20">
        <f>IFERROR(I31/F31,0)</f>
        <v>9.69569258616051</v>
      </c>
      <c r="N31" s="27">
        <f>IF(F31&gt;0,SUMPRODUCT(($F$25:$F$33&gt;0)*($M$25:$M$33&gt;M31))+SUMPRODUCT(($F$25:F31&gt;0)*($M$25:M31=M31)),"")</f>
        <v>2</v>
      </c>
    </row>
    <row r="32">
      <c r="B32" s="16" t="inlineStr">
        <is>
          <t>Programmatic Banners</t>
        </is>
      </c>
      <c r="C32" s="16" t="str">
        <f>INDEX(tblCampaignData[Marketing Channel],MATCH($B32,tblCampaignData[Campaign Name],0))</f>
        <v>Display Advertising</v>
      </c>
      <c r="D32" s="17">
        <f>SUMIFS(tblCampaignData[Impressions],tblCampaignData[Campaign Name],$B32,tblCampaignData[Campaign Name],$D$7,tblCampaignData[Marketing Channel],$D$6)</f>
        <v>41075881</v>
      </c>
      <c r="E32" s="17">
        <f>SUMIFS(tblCampaignData[Clicks],tblCampaignData[Campaign Name],$B32,tblCampaignData[Campaign Name],$D$7,tblCampaignData[Marketing Channel],$D$6)</f>
        <v>157144</v>
      </c>
      <c r="F32" s="18">
        <f>SUMIFS(tblCampaignData[Marketing Spend],tblCampaignData[Campaign Name],$B32,tblCampaignData[Campaign Name],$D$7,tblCampaignData[Marketing Channel],$D$6)</f>
        <v>1736900</v>
      </c>
      <c r="G32" s="17">
        <f>SUMIFS(tblCampaignData[Leads],tblCampaignData[Campaign Name],$B32,tblCampaignData[Campaign Name],$D$7,tblCampaignData[Marketing Channel],$D$6)</f>
        <v>4795</v>
      </c>
      <c r="H32" s="17">
        <f>SUMIFS(tblCampaignData[Conversions],tblCampaignData[Campaign Name],$B32,tblCampaignData[Campaign Name],$D$7,tblCampaignData[Marketing Channel],$D$6)</f>
        <v>476</v>
      </c>
      <c r="I32" s="18">
        <f>SUMIFS(tblCampaignData[Attributed Revenue],tblCampaignData[Campaign Name],$B32,tblCampaignData[Campaign Name],$D$7,tblCampaignData[Marketing Channel],$D$6)</f>
        <v>1644462</v>
      </c>
      <c r="J32" s="19">
        <f>IFERROR(E32/D32,0)</f>
        <v>0.0038257000501097</v>
      </c>
      <c r="K32" s="18">
        <f>IFERROR(F32/G32,0)</f>
        <v>362.231491136601</v>
      </c>
      <c r="L32" s="18">
        <f>IFERROR(F32/H32,0)</f>
        <v>3648.94957983193</v>
      </c>
      <c r="M32" s="20">
        <f>IFERROR(I32/F32,0)</f>
        <v>0.946779895215614</v>
      </c>
      <c r="N32" s="27">
        <f>IF(F32&gt;0,SUMPRODUCT(($F$25:$F$33&gt;0)*($M$25:$M$33&gt;M32))+SUMPRODUCT(($F$25:F32&gt;0)*($M$25:M32=M32)),"")</f>
        <v>9</v>
      </c>
    </row>
    <row r="33">
      <c r="B33" s="16" t="inlineStr">
        <is>
          <t>Festive Display Takeover</t>
        </is>
      </c>
      <c r="C33" s="16" t="str">
        <f>INDEX(tblCampaignData[Marketing Channel],MATCH($B33,tblCampaignData[Campaign Name],0))</f>
        <v>Display Advertising</v>
      </c>
      <c r="D33" s="17">
        <f>SUMIFS(tblCampaignData[Impressions],tblCampaignData[Campaign Name],$B33,tblCampaignData[Campaign Name],$D$7,tblCampaignData[Marketing Channel],$D$6)</f>
        <v>19190679</v>
      </c>
      <c r="E33" s="17">
        <f>SUMIFS(tblCampaignData[Clicks],tblCampaignData[Campaign Name],$B33,tblCampaignData[Campaign Name],$D$7,tblCampaignData[Marketing Channel],$D$6)</f>
        <v>112332</v>
      </c>
      <c r="F33" s="18">
        <f>SUMIFS(tblCampaignData[Marketing Spend],tblCampaignData[Campaign Name],$B33,tblCampaignData[Campaign Name],$D$7,tblCampaignData[Marketing Channel],$D$6)</f>
        <v>1562032</v>
      </c>
      <c r="G33" s="17">
        <f>SUMIFS(tblCampaignData[Leads],tblCampaignData[Campaign Name],$B33,tblCampaignData[Campaign Name],$D$7,tblCampaignData[Marketing Channel],$D$6)</f>
        <v>4513</v>
      </c>
      <c r="H33" s="17">
        <f>SUMIFS(tblCampaignData[Conversions],tblCampaignData[Campaign Name],$B33,tblCampaignData[Campaign Name],$D$7,tblCampaignData[Marketing Channel],$D$6)</f>
        <v>643</v>
      </c>
      <c r="I33" s="18">
        <f>SUMIFS(tblCampaignData[Attributed Revenue],tblCampaignData[Campaign Name],$B33,tblCampaignData[Campaign Name],$D$7,tblCampaignData[Marketing Channel],$D$6)</f>
        <v>2630077</v>
      </c>
      <c r="J33" s="19">
        <f>IFERROR(E33/D33,0)</f>
        <v>0.00585346667514995</v>
      </c>
      <c r="K33" s="18">
        <f>IFERROR(F33/G33,0)</f>
        <v>346.118324839353</v>
      </c>
      <c r="L33" s="18">
        <f>IFERROR(F33/H33,0)</f>
        <v>2429.28771384137</v>
      </c>
      <c r="M33" s="20">
        <f>IFERROR(I33/F33,0)</f>
        <v>1.68375359787764</v>
      </c>
      <c r="N33" s="27">
        <f>IF(F33&gt;0,SUMPRODUCT(($F$25:$F$33&gt;0)*($M$25:$M$33&gt;M33))+SUMPRODUCT(($F$25:F33&gt;0)*($M$25:M33=M33)),"")</f>
        <v>7</v>
      </c>
    </row>
    <row r="35">
      <c r="B35" s="8" t="inlineStr">
        <is>
          <t>5. ROAS ranking (feeds chart 3)</t>
        </is>
      </c>
      <c r="C35" s="9" t="n"/>
      <c r="D35" s="9" t="n"/>
      <c r="F35" s="8" t="inlineStr">
        <is>
          <t>6. Metric definitions, how to use, check</t>
        </is>
      </c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B36" s="28" t="inlineStr">
        <is>
          <t>Rank</t>
        </is>
      </c>
      <c r="C36" s="28" t="inlineStr">
        <is>
          <t>Campaign</t>
        </is>
      </c>
      <c r="D36" s="28" t="inlineStr">
        <is>
          <t>ROAS</t>
        </is>
      </c>
      <c r="F36" s="29" t="inlineStr">
        <is>
          <t>Metric definitions</t>
        </is>
      </c>
    </row>
    <row r="37">
      <c r="B37" s="27" t="n">
        <v>1</v>
      </c>
      <c r="C37" s="16" t="str">
        <f>IFERROR(INDEX($B$25:$B$33,MATCH($B37,$N$25:$N$33,0)),"")</f>
        <v>Welcome Series</v>
      </c>
      <c r="D37" s="30">
        <f>IFERROR(INDEX($M$25:$M$33,MATCH($B37,$N$25:$N$33,0)),0)</f>
        <v>12.3011966103138</v>
      </c>
      <c r="F37" s="31" t="inlineStr">
        <is>
          <t>CTR  = Clicks / Impressions</t>
        </is>
      </c>
    </row>
    <row r="38">
      <c r="B38" s="27" t="n">
        <v>2</v>
      </c>
      <c r="C38" s="16" t="str">
        <f>IFERROR(INDEX($B$25:$B$33,MATCH($B38,$N$25:$N$33,0)),"")</f>
        <v>Win-back Offer</v>
      </c>
      <c r="D38" s="30">
        <f>IFERROR(INDEX($M$25:$M$33,MATCH($B38,$N$25:$N$33,0)),0)</f>
        <v>9.69569258616051</v>
      </c>
      <c r="F38" s="31" t="inlineStr">
        <is>
          <t>CPL  = Marketing Spend / Leads</t>
        </is>
      </c>
    </row>
    <row r="39">
      <c r="B39" s="27" t="n">
        <v>3</v>
      </c>
      <c r="C39" s="16" t="str">
        <f>IFERROR(INDEX($B$25:$B$33,MATCH($B39,$N$25:$N$33,0)),"")</f>
        <v>Brand Search</v>
      </c>
      <c r="D39" s="30">
        <f>IFERROR(INDEX($M$25:$M$33,MATCH($B39,$N$25:$N$33,0)),0)</f>
        <v>7.18160914234882</v>
      </c>
      <c r="F39" s="31" t="inlineStr">
        <is>
          <t>CPA  = Marketing Spend / Conversions</t>
        </is>
      </c>
    </row>
    <row r="40">
      <c r="B40" s="27" t="n">
        <v>4</v>
      </c>
      <c r="C40" s="16" t="str">
        <f>IFERROR(INDEX($B$25:$B$33,MATCH($B40,$N$25:$N$33,0)),"")</f>
        <v>Cart Retargeting</v>
      </c>
      <c r="D40" s="30">
        <f>IFERROR(INDEX($M$25:$M$33,MATCH($B40,$N$25:$N$33,0)),0)</f>
        <v>5.25787677494058</v>
      </c>
      <c r="F40" s="31" t="inlineStr">
        <is>
          <t>ROAS = Attributed Revenue / Marketing Spend  (revenue earned per Rs 1 spent)</t>
        </is>
      </c>
    </row>
    <row r="41">
      <c r="B41" s="27" t="n">
        <v>5</v>
      </c>
      <c r="C41" s="16" t="str">
        <f>IFERROR(INDEX($B$25:$B$33,MATCH($B41,$N$25:$N$33,0)),"")</f>
        <v>Festive Gifting Search</v>
      </c>
      <c r="D41" s="30">
        <f>IFERROR(INDEX($M$25:$M$33,MATCH($B41,$N$25:$N$33,0)),0)</f>
        <v>4.99521959926904</v>
      </c>
      <c r="F41" s="29" t="inlineStr">
        <is>
          <t>How to use</t>
        </is>
      </c>
    </row>
    <row r="42">
      <c r="B42" s="27" t="n">
        <v>6</v>
      </c>
      <c r="C42" s="16" t="str">
        <f>IFERROR(INDEX($B$25:$B$33,MATCH($B42,$N$25:$N$33,0)),"")</f>
        <v>Generic Kitchen Search</v>
      </c>
      <c r="D42" s="30">
        <f>IFERROR(INDEX($M$25:$M$33,MATCH($B42,$N$25:$N$33,0)),0)</f>
        <v>2.71254675657578</v>
      </c>
      <c r="F42" s="31" t="inlineStr">
        <is>
          <t>1. Edit or add rows in the Campaign Data table; all totals recalculate.</t>
        </is>
      </c>
    </row>
    <row r="43">
      <c r="B43" s="27" t="n">
        <v>7</v>
      </c>
      <c r="C43" s="16" t="str">
        <f>IFERROR(INDEX($B$25:$B$33,MATCH($B43,$N$25:$N$33,0)),"")</f>
        <v>Festive Display Takeover</v>
      </c>
      <c r="D43" s="30">
        <f>IFERROR(INDEX($M$25:$M$33,MATCH($B43,$N$25:$N$33,0)),0)</f>
        <v>1.68375359787764</v>
      </c>
      <c r="F43" s="31" t="inlineStr">
        <is>
          <t>2. Pick a Marketing Channel and/or Campaign Name on the Executive Dashboard.</t>
        </is>
      </c>
    </row>
    <row r="44">
      <c r="B44" s="27" t="n">
        <v>8</v>
      </c>
      <c r="C44" s="16" t="str">
        <f>IFERROR(INDEX($B$25:$B$33,MATCH($B44,$N$25:$N$33,0)),"")</f>
        <v>Instagram Reels Sale</v>
      </c>
      <c r="D44" s="30">
        <f>IFERROR(INDEX($M$25:$M$33,MATCH($B44,$N$25:$N$33,0)),0)</f>
        <v>1.57808709995398</v>
      </c>
      <c r="F44" s="31" t="inlineStr">
        <is>
          <t>3. New channel / campaign names need a new row in tables 3 and 4 (copy a row down).</t>
        </is>
      </c>
    </row>
    <row r="45">
      <c r="B45" s="27" t="n">
        <v>9</v>
      </c>
      <c r="C45" s="16" t="str">
        <f>IFERROR(INDEX($B$25:$B$33,MATCH($B45,$N$25:$N$33,0)),"")</f>
        <v>Programmatic Banners</v>
      </c>
      <c r="D45" s="30">
        <f>IFERROR(INDEX($M$25:$M$33,MATCH($B45,$N$25:$N$33,0)),0)</f>
        <v>0.946779895215614</v>
      </c>
      <c r="F45" s="32" t="inlineStr">
        <is>
          <t>Check: channel and campaign totals equal the selection totals</t>
        </is>
      </c>
      <c r="M45" s="33" t="str">
        <f>IF(AND(ABS(F16-F12)&lt;0.5,ABS(I16-I12)&lt;0.5,H16=H12,ABS(F24-F12)&lt;0.5,ABS(I24-I12)&lt;0.5,H24=H12),"OK","CHECK")</f>
        <v>OK</v>
      </c>
    </row>
  </sheetData>
  <mergeCells count="9">
    <mergeCell ref="B16:C16"/>
    <mergeCell ref="B15:C15"/>
    <mergeCell ref="B11:C11"/>
    <mergeCell ref="B19:C19"/>
    <mergeCell ref="B20:C20"/>
    <mergeCell ref="B10:C10"/>
    <mergeCell ref="B17:C17"/>
    <mergeCell ref="B18:C18"/>
    <mergeCell ref="B12:C12"/>
  </mergeCells>
  <conditionalFormatting sqref="M45">
    <cfRule type="expression" priority="1" dxfId="0">
      <formula>$M$45="CHECK"</formula>
    </cfRule>
  </conditionalFormatting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B2:P37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9.199999999999999" customWidth="1" min="2" max="2"/>
    <col width="9.199999999999999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9.199999999999999" customWidth="1" min="9" max="9"/>
    <col width="9.199999999999999" customWidth="1" min="10" max="10"/>
    <col width="9.199999999999999" customWidth="1" min="11" max="11"/>
    <col width="9.199999999999999" customWidth="1" min="12" max="12"/>
    <col width="9.199999999999999" customWidth="1" min="13" max="13"/>
    <col width="9.199999999999999" customWidth="1" min="14" max="14"/>
    <col width="9.199999999999999" customWidth="1" min="15" max="15"/>
    <col width="9.199999999999999" customWidth="1" min="16" max="16"/>
    <col width="2" customWidth="1" min="17" max="17"/>
  </cols>
  <sheetData>
    <row r="1" ht="8" customHeight="1"/>
    <row r="2" ht="32" customHeight="1">
      <c r="B2" s="34" t="inlineStr">
        <is>
          <t>Marketing Campaign Performance Dashboard</t>
        </is>
      </c>
    </row>
    <row r="3" ht="18" customHeight="1">
      <c r="B3" s="35" t="str">
        <f>"Reporting period: "&amp;TEXT(Analysis!H6,"dd mmm yyyy")&amp;" to "&amp;TEXT(Analysis!H7,"dd mmm yyyy")&amp;"   |   Kiran Home Living (fictional brand)   |   Simulated data   |   Amounts in INR"</f>
        <v>Reporting period: 25 May 2026 to 11 Oct 2026   |   Kiran Home Living (fictional brand)   |   Simulated data   |   Amounts in INR</v>
      </c>
    </row>
    <row r="4" ht="8" customHeight="1"/>
    <row r="5" ht="26" customHeight="1">
      <c r="B5" s="36" t="inlineStr">
        <is>
          <t>Marketing Channel</t>
        </is>
      </c>
      <c r="D5" s="37" t="inlineStr">
        <is>
          <t>All</t>
        </is>
      </c>
      <c r="E5" s="38" t="n"/>
      <c r="F5" s="38" t="n"/>
      <c r="G5" s="39" t="n"/>
      <c r="H5" s="36" t="inlineStr">
        <is>
          <t>Campaign</t>
        </is>
      </c>
      <c r="I5" s="37" t="inlineStr">
        <is>
          <t>All</t>
        </is>
      </c>
      <c r="J5" s="38" t="n"/>
      <c r="K5" s="38" t="n"/>
      <c r="L5" s="38" t="n"/>
      <c r="M5" s="40" t="str">
        <f>IF(AND(D5&lt;&gt;"All",I5&lt;&gt;"All",Analysis!F12=0),"No data: campaign is not in the selected channel","Dropdowns filter every KPI and chart")</f>
        <v>Dropdowns filter every KPI and chart</v>
      </c>
    </row>
    <row r="6" ht="8" customHeight="1"/>
    <row r="7" ht="18" customHeight="1">
      <c r="B7" s="41" t="inlineStr">
        <is>
          <t>TOTAL MARKETING SPEND</t>
        </is>
      </c>
      <c r="C7" s="42" t="n"/>
      <c r="D7" s="43" t="n"/>
      <c r="E7" s="44" t="inlineStr">
        <is>
          <t>ATTRIBUTED REVENUE</t>
        </is>
      </c>
      <c r="F7" s="42" t="n"/>
      <c r="G7" s="43" t="n"/>
      <c r="H7" s="44" t="inlineStr">
        <is>
          <t>ROAS</t>
        </is>
      </c>
      <c r="I7" s="42" t="n"/>
      <c r="J7" s="43" t="n"/>
      <c r="K7" s="44" t="inlineStr">
        <is>
          <t>CONVERSIONS</t>
        </is>
      </c>
      <c r="L7" s="42" t="n"/>
      <c r="M7" s="43" t="n"/>
      <c r="N7" s="44" t="inlineStr">
        <is>
          <t>COST PER ACQUISITION</t>
        </is>
      </c>
      <c r="O7" s="42" t="n"/>
      <c r="P7" s="42" t="n"/>
    </row>
    <row r="8" ht="38" customHeight="1">
      <c r="B8" s="45">
        <f>Analysis!F12</f>
        <v>8731979</v>
      </c>
      <c r="C8" s="46" t="n"/>
      <c r="D8" s="47" t="n"/>
      <c r="E8" s="48">
        <f>Analysis!I12</f>
        <v>27227675</v>
      </c>
      <c r="F8" s="46" t="n"/>
      <c r="G8" s="47" t="n"/>
      <c r="H8" s="49">
        <f>Analysis!M12</f>
        <v>3.1181562621715</v>
      </c>
      <c r="I8" s="46" t="n"/>
      <c r="J8" s="47" t="n"/>
      <c r="K8" s="50">
        <f>Analysis!H12</f>
        <v>7690</v>
      </c>
      <c r="L8" s="46" t="n"/>
      <c r="M8" s="47" t="n"/>
      <c r="N8" s="48">
        <f>Analysis!L12</f>
        <v>1135.49791937581</v>
      </c>
      <c r="O8" s="46" t="n"/>
      <c r="P8" s="46" t="n"/>
    </row>
    <row r="9" ht="16" customHeight="1">
      <c r="B9" s="51" t="inlineStr">
        <is>
          <t>Across selected campaigns</t>
        </is>
      </c>
      <c r="C9" s="46" t="n"/>
      <c r="D9" s="47" t="n"/>
      <c r="E9" s="52" t="inlineStr">
        <is>
          <t>Revenue credited to campaigns</t>
        </is>
      </c>
      <c r="F9" s="46" t="n"/>
      <c r="G9" s="47" t="n"/>
      <c r="H9" s="52" t="inlineStr">
        <is>
          <t>Revenue / Spend</t>
        </is>
      </c>
      <c r="I9" s="46" t="n"/>
      <c r="J9" s="47" t="n"/>
      <c r="K9" s="52" t="inlineStr">
        <is>
          <t>Orders from marketing</t>
        </is>
      </c>
      <c r="L9" s="46" t="n"/>
      <c r="M9" s="47" t="n"/>
      <c r="N9" s="52" t="inlineStr">
        <is>
          <t>Spend / Conversions</t>
        </is>
      </c>
      <c r="O9" s="46" t="n"/>
      <c r="P9" s="46" t="n"/>
    </row>
    <row r="10" ht="10" customHeight="1"/>
    <row r="11" ht="20" customHeight="1">
      <c r="B11" s="53" t="inlineStr">
        <is>
          <t>Spend vs Revenue by Channel (₹ million)</t>
        </is>
      </c>
      <c r="C11" s="54" t="n"/>
      <c r="D11" s="54" t="n"/>
      <c r="E11" s="54" t="n"/>
      <c r="F11" s="54" t="n"/>
      <c r="G11" s="53" t="inlineStr">
        <is>
          <t>Conversions by Channel</t>
        </is>
      </c>
      <c r="H11" s="54" t="n"/>
      <c r="I11" s="54" t="n"/>
      <c r="J11" s="54" t="n"/>
      <c r="K11" s="54" t="n"/>
      <c r="L11" s="53" t="inlineStr">
        <is>
          <t>Campaign ROAS Ranking (Revenue / Spend)</t>
        </is>
      </c>
      <c r="M11" s="54" t="n"/>
      <c r="N11" s="54" t="n"/>
      <c r="O11" s="54" t="n"/>
      <c r="P11" s="54" t="n"/>
    </row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8" customHeight="1"/>
    <row r="30" ht="20" customHeight="1">
      <c r="B30" s="53" t="inlineStr">
        <is>
          <t>Key Insights  (based on the full simulated dataset; static text)</t>
        </is>
      </c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</row>
    <row r="31" ht="18" customHeight="1">
      <c r="B31" s="55" t="inlineStr">
        <is>
          <t>Email is the most efficient channel</t>
        </is>
      </c>
      <c r="C31" s="46" t="n"/>
      <c r="D31" s="46" t="n"/>
      <c r="E31" s="46" t="n"/>
      <c r="F31" s="47" t="n"/>
      <c r="G31" s="55" t="inlineStr">
        <is>
          <t>Display spends the most, earns the least</t>
        </is>
      </c>
      <c r="H31" s="46" t="n"/>
      <c r="I31" s="46" t="n"/>
      <c r="J31" s="46" t="n"/>
      <c r="K31" s="47" t="n"/>
      <c r="L31" s="55" t="inlineStr">
        <is>
          <t>Paid Search drives the revenue</t>
        </is>
      </c>
      <c r="M31" s="46" t="n"/>
      <c r="N31" s="46" t="n"/>
      <c r="O31" s="46" t="n"/>
      <c r="P31" s="46" t="n"/>
    </row>
    <row r="32" ht="15" customHeight="1">
      <c r="B32" s="56" t="inlineStr">
        <is>
          <t>Email Marketing returns ₹11.2 of revenue per ₹1 spent (ROAS 11.2x) from only 2.3% of total spend. Its reach is limited, so it complements paid channels rather than replacing them.</t>
        </is>
      </c>
      <c r="C32" s="46" t="n"/>
      <c r="D32" s="46" t="n"/>
      <c r="E32" s="46" t="n"/>
      <c r="F32" s="47" t="n"/>
      <c r="G32" s="56" t="inlineStr">
        <is>
          <t>Display Advertising takes 37.8% of spend but returns 15.7% of revenue (ROAS 1.3x). Programmatic Banners is the only campaign below 1.0x (0.95x), i.e. revenue lower than spend.</t>
        </is>
      </c>
      <c r="H32" s="46" t="n"/>
      <c r="I32" s="46" t="n"/>
      <c r="J32" s="46" t="n"/>
      <c r="K32" s="47" t="n"/>
      <c r="L32" s="56" t="inlineStr">
        <is>
          <t>Paid Search generates 53.9% of attributed revenue at 4.6x ROAS. Brand Search (7.2x) and Festive Gifting Search (5.0x) lead; Generic Kitchen Search lags at 2.7x.</t>
        </is>
      </c>
      <c r="M32" s="46" t="n"/>
      <c r="N32" s="46" t="n"/>
      <c r="O32" s="46" t="n"/>
      <c r="P32" s="46" t="n"/>
    </row>
    <row r="33" ht="15" customHeight="1">
      <c r="B33" s="57" t="n"/>
      <c r="C33" s="46" t="n"/>
      <c r="D33" s="46" t="n"/>
      <c r="E33" s="46" t="n"/>
      <c r="F33" s="47" t="n"/>
      <c r="G33" s="57" t="n"/>
      <c r="H33" s="46" t="n"/>
      <c r="I33" s="46" t="n"/>
      <c r="J33" s="46" t="n"/>
      <c r="K33" s="47" t="n"/>
      <c r="L33" s="57" t="n"/>
      <c r="M33" s="46" t="n"/>
      <c r="N33" s="46" t="n"/>
      <c r="O33" s="46" t="n"/>
      <c r="P33" s="46" t="n"/>
    </row>
    <row r="34" ht="15" customHeight="1">
      <c r="B34" s="57" t="n"/>
      <c r="C34" s="46" t="n"/>
      <c r="D34" s="46" t="n"/>
      <c r="E34" s="46" t="n"/>
      <c r="F34" s="47" t="n"/>
      <c r="G34" s="57" t="n"/>
      <c r="H34" s="46" t="n"/>
      <c r="I34" s="46" t="n"/>
      <c r="J34" s="46" t="n"/>
      <c r="K34" s="47" t="n"/>
      <c r="L34" s="57" t="n"/>
      <c r="M34" s="46" t="n"/>
      <c r="N34" s="46" t="n"/>
      <c r="O34" s="46" t="n"/>
      <c r="P34" s="46" t="n"/>
    </row>
    <row r="35" ht="15" customHeight="1">
      <c r="B35" s="57" t="n"/>
      <c r="C35" s="46" t="n"/>
      <c r="D35" s="46" t="n"/>
      <c r="E35" s="46" t="n"/>
      <c r="F35" s="47" t="n"/>
      <c r="G35" s="57" t="n"/>
      <c r="H35" s="46" t="n"/>
      <c r="I35" s="46" t="n"/>
      <c r="J35" s="46" t="n"/>
      <c r="K35" s="47" t="n"/>
      <c r="L35" s="57" t="n"/>
      <c r="M35" s="46" t="n"/>
      <c r="N35" s="46" t="n"/>
      <c r="O35" s="46" t="n"/>
      <c r="P35" s="46" t="n"/>
    </row>
    <row r="36" ht="8" customHeight="1"/>
    <row r="37" ht="16" customHeight="1">
      <c r="B37" s="58" t="inlineStr">
        <is>
          <t>Data source: 'Campaign Data' sheet (simulated, fictional). ROAS = Attributed Revenue / Spend. Filters apply to KPI cards and the three charts; insights text is fixed.</t>
        </is>
      </c>
    </row>
  </sheetData>
  <mergeCells count="32">
    <mergeCell ref="B2:P2"/>
    <mergeCell ref="B8:D8"/>
    <mergeCell ref="G11:K11"/>
    <mergeCell ref="E9:G9"/>
    <mergeCell ref="B31:F31"/>
    <mergeCell ref="N8:P8"/>
    <mergeCell ref="H7:J7"/>
    <mergeCell ref="K8:M8"/>
    <mergeCell ref="B11:F11"/>
    <mergeCell ref="B37:P37"/>
    <mergeCell ref="B9:D9"/>
    <mergeCell ref="N9:P9"/>
    <mergeCell ref="G32:K35"/>
    <mergeCell ref="E7:G7"/>
    <mergeCell ref="K7:M7"/>
    <mergeCell ref="B30:P30"/>
    <mergeCell ref="M5:P5"/>
    <mergeCell ref="D5:F5"/>
    <mergeCell ref="H8:J8"/>
    <mergeCell ref="B32:F35"/>
    <mergeCell ref="L32:P35"/>
    <mergeCell ref="B7:D7"/>
    <mergeCell ref="L31:P31"/>
    <mergeCell ref="N7:P7"/>
    <mergeCell ref="K9:M9"/>
    <mergeCell ref="B5:C5"/>
    <mergeCell ref="B3:P3"/>
    <mergeCell ref="E8:G8"/>
    <mergeCell ref="H9:J9"/>
    <mergeCell ref="L11:P11"/>
    <mergeCell ref="G31:K31"/>
    <mergeCell ref="I5:L5"/>
  </mergeCells>
  <conditionalFormatting sqref="M5">
    <cfRule type="expression" priority="1" dxfId="1">
      <formula>LEFT($M$5,7)="No data"</formula>
    </cfRule>
  </conditionalFormatting>
  <dataValidations count="2">
    <dataValidation sqref="D5" showDropDown="0" showInputMessage="0" showErrorMessage="1" allowBlank="0" errorTitle="Pick from the list" error="Choose a value from the dropdown." type="list">
      <formula1>=Analysis!$B$16:$B$20</formula1>
    </dataValidation>
    <dataValidation sqref="I5" showDropDown="0" showInputMessage="0" showErrorMessage="1" allowBlank="0" errorTitle="Pick from the list" error="Choose a value from the dropdown." type="list">
      <formula1>=Analysis!$B$24:$B$33</formula1>
    </dataValidation>
  </dataValidations>
  <printOptions horizontalCentered="1"/>
  <pageMargins left="0.35" right="0.35" top="0.35" bottom="0.3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Marketing Campaign Performance Tracker (simulated data)</dc:title>
  <dcterms:created xmlns:dcterms="http://purl.org/dc/terms/" xmlns:xsi="http://www.w3.org/2001/XMLSchema-instance" xsi:type="dcterms:W3CDTF">2026-10-17T03:58:22Z</dcterms:created>
  <dcterms:modified xmlns:dcterms="http://purl.org/dc/terms/" xmlns:xsi="http://www.w3.org/2001/XMLSchema-instance" xsi:type="dcterms:W3CDTF">2026-10-17T03:58:22Z</dcterms:modified>
</cp:coreProperties>
</file>